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player_stats_2026" sheetId="1" r:id="rId5"/>
    <sheet state="visible" name="team_game_summarys" sheetId="2" r:id="rId6"/>
    <sheet state="visible" name="team_season_summary" sheetId="3" r:id="rId7"/>
  </sheets>
  <definedNames/>
  <calcPr/>
</workbook>
</file>

<file path=xl/sharedStrings.xml><?xml version="1.0" encoding="utf-8"?>
<sst xmlns="http://schemas.openxmlformats.org/spreadsheetml/2006/main" count="1128" uniqueCount="210">
  <si>
    <t>source_sheet</t>
  </si>
  <si>
    <t>game_id</t>
  </si>
  <si>
    <t>game_date</t>
  </si>
  <si>
    <t>matchup</t>
  </si>
  <si>
    <t>team</t>
  </si>
  <si>
    <t>opponent</t>
  </si>
  <si>
    <t>team_score</t>
  </si>
  <si>
    <t>opponent_score</t>
  </si>
  <si>
    <t>player_number</t>
  </si>
  <si>
    <t>player_name</t>
  </si>
  <si>
    <t>starter</t>
  </si>
  <si>
    <t>minutes</t>
  </si>
  <si>
    <t>time_mmss</t>
  </si>
  <si>
    <t>mpg_minutes</t>
  </si>
  <si>
    <t>mpg_mmss</t>
  </si>
  <si>
    <t>pts</t>
  </si>
  <si>
    <t>fg2m</t>
  </si>
  <si>
    <t>fg2a</t>
  </si>
  <si>
    <t>fg3m</t>
  </si>
  <si>
    <t>fg3a</t>
  </si>
  <si>
    <t>ftm</t>
  </si>
  <si>
    <t>fta</t>
  </si>
  <si>
    <t>fgm</t>
  </si>
  <si>
    <t>fga</t>
  </si>
  <si>
    <t>fg2_pct</t>
  </si>
  <si>
    <t>fg3_pct</t>
  </si>
  <si>
    <t>ft_pct</t>
  </si>
  <si>
    <t>efg_pct</t>
  </si>
  <si>
    <t>ts_pct</t>
  </si>
  <si>
    <t>two_pt_fouled</t>
  </si>
  <si>
    <t>two_pt_rate</t>
  </si>
  <si>
    <t>three_pt_rate</t>
  </si>
  <si>
    <t>ast</t>
  </si>
  <si>
    <t>fouls</t>
  </si>
  <si>
    <t>tov</t>
  </si>
  <si>
    <t>reb</t>
  </si>
  <si>
    <t>oreb</t>
  </si>
  <si>
    <t>dreb</t>
  </si>
  <si>
    <t>reb_pct</t>
  </si>
  <si>
    <t>blk</t>
  </si>
  <si>
    <t>stl</t>
  </si>
  <si>
    <t>usage_pct_source</t>
  </si>
  <si>
    <t>usage_pct_calc</t>
  </si>
  <si>
    <t>off_ppp</t>
  </si>
  <si>
    <t>def_ppp</t>
  </si>
  <si>
    <t>off_poss</t>
  </si>
  <si>
    <t>team_minutes_sum</t>
  </si>
  <si>
    <t>team_fga</t>
  </si>
  <si>
    <t>team_fta</t>
  </si>
  <si>
    <t>team_tov</t>
  </si>
  <si>
    <t>pts_per36</t>
  </si>
  <si>
    <t>reb_per36</t>
  </si>
  <si>
    <t>ast_per36</t>
  </si>
  <si>
    <t>tov_per36</t>
  </si>
  <si>
    <t>stl_per36</t>
  </si>
  <si>
    <t>blk_per36</t>
  </si>
  <si>
    <t>fouls_per36</t>
  </si>
  <si>
    <t>shot_pair_recovery_flags</t>
  </si>
  <si>
    <t>team_ts_pct</t>
  </si>
  <si>
    <t>player_relative_ts_pct</t>
  </si>
  <si>
    <t>tov_rate</t>
  </si>
  <si>
    <t>ft_rate</t>
  </si>
  <si>
    <t>ppsa</t>
  </si>
  <si>
    <t>pct_pts_2pt</t>
  </si>
  <si>
    <t>pct_pts_3pt</t>
  </si>
  <si>
    <t>pct_pts_ft</t>
  </si>
  <si>
    <t>ast_tov_ratio</t>
  </si>
  <si>
    <t>Oakland Swish vs Alameda Wolves</t>
  </si>
  <si>
    <t>2026-06-13_alameda_wolves_vs_oakland_swish</t>
  </si>
  <si>
    <t>Alameda Wolves vs Oakland Swish</t>
  </si>
  <si>
    <t>Alameda Wolves</t>
  </si>
  <si>
    <t>Oakland Swish</t>
  </si>
  <si>
    <t>Aaniya Webb</t>
  </si>
  <si>
    <t>ft:excel_date_serial_recovered</t>
  </si>
  <si>
    <t>Jasmyne Huggins</t>
  </si>
  <si>
    <t>Micah Gray</t>
  </si>
  <si>
    <t>3pt:excel_date_serial_recovered;2pt:excel_date_serial_recovered;ft:excel_date_serial_recovered</t>
  </si>
  <si>
    <t>TS% = IFERROR(pts / (2 * (AV2 + 0.44 * AW2)), "")</t>
  </si>
  <si>
    <t>Leilani Gonzales</t>
  </si>
  <si>
    <t>2pt:excel_date_serial_recovered</t>
  </si>
  <si>
    <t>Bianca McGee</t>
  </si>
  <si>
    <t>Star-Fitz Gerald</t>
  </si>
  <si>
    <t>Nevaeh Asiasi</t>
  </si>
  <si>
    <t>Amber Harris</t>
  </si>
  <si>
    <t>3pt:excel_date_serial_recovered;2pt:excel_date_serial_recovered</t>
  </si>
  <si>
    <t>Cordasia Harris</t>
  </si>
  <si>
    <t>2pt:excel_date_serial_recovered;ft:excel_date_serial_recovered</t>
  </si>
  <si>
    <t>Andriana Avent</t>
  </si>
  <si>
    <t>3pt:excel_date_serial_recovered;ft:excel_date_serial_recovered</t>
  </si>
  <si>
    <t>alayna Contreras</t>
  </si>
  <si>
    <t>Destiney McPhaul</t>
  </si>
  <si>
    <t>Jada Holland</t>
  </si>
  <si>
    <t>Jada Lewis</t>
  </si>
  <si>
    <t>Rhema Ogele</t>
  </si>
  <si>
    <t>Angel Jackson</t>
  </si>
  <si>
    <t>SF Riptide vs Hayward Reign (61</t>
  </si>
  <si>
    <t>2026-06-13_sf_riptide_vs_hayward_reign</t>
  </si>
  <si>
    <t>SF Riptide vs Hayward Reign</t>
  </si>
  <si>
    <t>SF Riptide</t>
  </si>
  <si>
    <t>Hayward Reign</t>
  </si>
  <si>
    <t>Da'Ja Hamilton</t>
  </si>
  <si>
    <t>Chloe Sterling</t>
  </si>
  <si>
    <t>Abigail Cooper</t>
  </si>
  <si>
    <t>3pt:excel_date_serial_recovered</t>
  </si>
  <si>
    <t>Sidney Richards</t>
  </si>
  <si>
    <t>Jaslyn Woods</t>
  </si>
  <si>
    <t>Jolene Armendariz</t>
  </si>
  <si>
    <t>Aniya Mcdonald-Perry</t>
  </si>
  <si>
    <t>Mele Katokakala Finau</t>
  </si>
  <si>
    <t>Deaja Smith</t>
  </si>
  <si>
    <t>Taylor Linzie</t>
  </si>
  <si>
    <t>Alexis Whitfield</t>
  </si>
  <si>
    <t>Finau Tonga</t>
  </si>
  <si>
    <t>Janessa Yniguez</t>
  </si>
  <si>
    <t>Alaiyah San Juan</t>
  </si>
  <si>
    <t>Brandi Williams</t>
  </si>
  <si>
    <t>Deja Jackson</t>
  </si>
  <si>
    <t>Diamond Richardson</t>
  </si>
  <si>
    <t>Alexsandra Alvarado</t>
  </si>
  <si>
    <t>Rosemarie Julien</t>
  </si>
  <si>
    <t>Paloma Ramirez</t>
  </si>
  <si>
    <t>Kayla Thomas</t>
  </si>
  <si>
    <t>Melesungu Afeaki</t>
  </si>
  <si>
    <t>Titans vs Royals (613)</t>
  </si>
  <si>
    <t>2026-06-13_titans_vs_royals</t>
  </si>
  <si>
    <t>Titans vs Royals</t>
  </si>
  <si>
    <t>Titans</t>
  </si>
  <si>
    <t>Royals</t>
  </si>
  <si>
    <t>Mira Love-Sango</t>
  </si>
  <si>
    <t>Vivian Woo</t>
  </si>
  <si>
    <t>Jane Arnoldi</t>
  </si>
  <si>
    <t>Lauren Richter</t>
  </si>
  <si>
    <t>Chance Bucher</t>
  </si>
  <si>
    <t>Krista Andersen</t>
  </si>
  <si>
    <t>Makaila Napoleon</t>
  </si>
  <si>
    <t>Destiny Jackson</t>
  </si>
  <si>
    <t>Ashley Hiraki</t>
  </si>
  <si>
    <t>Olga Faasolo</t>
  </si>
  <si>
    <t>Teionnii McDaniel</t>
  </si>
  <si>
    <t>Miyu Mizukawa</t>
  </si>
  <si>
    <t>Jhaina Stephens</t>
  </si>
  <si>
    <t>Ashley Hart</t>
  </si>
  <si>
    <t>Tamiah Robinson</t>
  </si>
  <si>
    <t>Ashiala Jackson</t>
  </si>
  <si>
    <t>Ayanna Mazyck</t>
  </si>
  <si>
    <t>Phoenix vs Blaze (613)</t>
  </si>
  <si>
    <t>2026-06-13_bay_area_phoenix_vs_bay_city_blaze</t>
  </si>
  <si>
    <t>Bay Area Phoenix vs Bay City Blaze</t>
  </si>
  <si>
    <t>Bay Area Phoenix</t>
  </si>
  <si>
    <t>Bay City Blaze</t>
  </si>
  <si>
    <t>Jessenia Lawson</t>
  </si>
  <si>
    <t>Zhane Duckett</t>
  </si>
  <si>
    <t>Alisha Wilson</t>
  </si>
  <si>
    <t>Jess Wilson</t>
  </si>
  <si>
    <t>Delia Moore</t>
  </si>
  <si>
    <t>Madison Michelis</t>
  </si>
  <si>
    <t>Khalis Cain</t>
  </si>
  <si>
    <t>Ameela Li</t>
  </si>
  <si>
    <t>Isabella Mauricio</t>
  </si>
  <si>
    <t>Chandler Prater</t>
  </si>
  <si>
    <t>Jasia Gamble</t>
  </si>
  <si>
    <t>Koi Love</t>
  </si>
  <si>
    <t>Courtney Range</t>
  </si>
  <si>
    <t>Antoinette Howard</t>
  </si>
  <si>
    <t>Eboni Walker</t>
  </si>
  <si>
    <t>Wolves vs Reign (614)</t>
  </si>
  <si>
    <t>2026-06-14_hayward_reign_vs_alameda_wolves</t>
  </si>
  <si>
    <t>Hayward Reign vs Alameda Wolves</t>
  </si>
  <si>
    <t>Swish vs Royals (614)</t>
  </si>
  <si>
    <t>2026-06-14_royals_vs_oakland_swish</t>
  </si>
  <si>
    <t>Royals vs Oakland Swish</t>
  </si>
  <si>
    <t>Blaze vs Riptide (614)</t>
  </si>
  <si>
    <t>2026-06-14_bay_city_blaze_vs_sf_riptide</t>
  </si>
  <si>
    <t>Bay City Blaze vs SF Riptide</t>
  </si>
  <si>
    <t>Titans vs Phoenix</t>
  </si>
  <si>
    <t>2026-06-14_bay_area_phoenix_vs_titans</t>
  </si>
  <si>
    <t>Bay Area Phoenix vs Titans</t>
  </si>
  <si>
    <t>Mina Tameilau</t>
  </si>
  <si>
    <t>game_time</t>
  </si>
  <si>
    <t>result</t>
  </si>
  <si>
    <t>Tech City Titans</t>
  </si>
  <si>
    <t>Berkeley Royals</t>
  </si>
  <si>
    <t>2026-06-20_royals_vs_wolves</t>
  </si>
  <si>
    <t>2026-06-20_bay_city_blaze_vs_hayward_reign</t>
  </si>
  <si>
    <t>2026-06-20_bay_area_phoenix_vs_swish</t>
  </si>
  <si>
    <t>2026-06-20_titans_vs_sf_riptide</t>
  </si>
  <si>
    <t>2026-06-21_alameda_wolves_vs_bay_city_blaze</t>
  </si>
  <si>
    <t>2026-06-21_royals_vs_phoenix</t>
  </si>
  <si>
    <t>2026-06-21_hayward_reign_vs_titans</t>
  </si>
  <si>
    <t>2026-06-21_oakland_swish_vs_sf_riptide</t>
  </si>
  <si>
    <t>Season</t>
  </si>
  <si>
    <t>Team</t>
  </si>
  <si>
    <t>games_played</t>
  </si>
  <si>
    <t>Wins</t>
  </si>
  <si>
    <t>Losses</t>
  </si>
  <si>
    <t>Win_pct</t>
  </si>
  <si>
    <t>Pts_For</t>
  </si>
  <si>
    <t>Pts_Against</t>
  </si>
  <si>
    <t>Games_Behind</t>
  </si>
  <si>
    <t>L10</t>
  </si>
  <si>
    <t>Streak</t>
  </si>
  <si>
    <t>Streak_Wins_or_Losses</t>
  </si>
  <si>
    <t>4 ‐ 0 ‐ 0</t>
  </si>
  <si>
    <t>W</t>
  </si>
  <si>
    <t>3 ‐ 1 ‐ 0</t>
  </si>
  <si>
    <t>2 ‐ 2 ‐ 0</t>
  </si>
  <si>
    <t>L</t>
  </si>
  <si>
    <t>San Francisco Riptide</t>
  </si>
  <si>
    <t>1 ‐ 3 ‐ 0</t>
  </si>
  <si>
    <t>0 ‐ 4 ‐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</si>
</sst>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yyyy-mm-dd"/>
    <numFmt numFmtId="166" formatCode="h:mm am/pm"/>
    <numFmt numFmtId="167" formatCode="m/d"/>
    <numFmt numFmtId="168" formatCode="ddd mmm 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Inter"/>
    </font>
    <font>
      <b/>
      <sz val="11.0"/>
      <color theme="1"/>
      <name val="Inter"/>
    </font>
    <font>
      <sz val="11.0"/>
      <color rgb="FF000000"/>
      <name val="Inter"/>
    </font>
    <font>
      <sz val="11.0"/>
      <color theme="1"/>
      <name val="Inter"/>
    </font>
    <font>
      <b/>
      <sz val="11.0"/>
      <color rgb="FFFFFFFF"/>
      <name val="Inter"/>
    </font>
    <font>
      <sz val="11.0"/>
      <color rgb="FF000000"/>
      <name val="&quot;Roboto Condensed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BEBEBE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46" xfId="0" applyAlignment="1" applyFont="1" applyNumberFormat="1">
      <alignment readingOrder="0"/>
    </xf>
    <xf borderId="0" fillId="2" fontId="3" numFmtId="0" xfId="0" applyFont="1"/>
    <xf borderId="0" fillId="0" fontId="1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2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2" numFmtId="0" xfId="0" applyFont="1"/>
    <xf borderId="0" fillId="0" fontId="3" numFmtId="46" xfId="0" applyFont="1" applyNumberFormat="1"/>
    <xf borderId="0" fillId="0" fontId="3" numFmtId="2" xfId="0" applyFont="1" applyNumberFormat="1"/>
    <xf borderId="0" fillId="3" fontId="4" numFmtId="0" xfId="0" applyAlignment="1" applyFill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/>
    </xf>
    <xf borderId="0" fillId="3" fontId="6" numFmtId="166" xfId="0" applyAlignment="1" applyFont="1" applyNumberFormat="1">
      <alignment horizontal="right" readingOrder="0" shrinkToFit="0" wrapText="0"/>
    </xf>
    <xf borderId="0" fillId="0" fontId="7" numFmtId="0" xfId="0" applyAlignment="1" applyFont="1">
      <alignment horizontal="right" vertical="bottom"/>
    </xf>
    <xf borderId="0" fillId="3" fontId="6" numFmtId="167" xfId="0" applyAlignment="1" applyFont="1" applyNumberFormat="1">
      <alignment horizontal="right" readingOrder="0"/>
    </xf>
    <xf borderId="0" fillId="3" fontId="6" numFmtId="0" xfId="0" applyAlignment="1" applyFont="1">
      <alignment horizontal="right" readingOrder="0"/>
    </xf>
    <xf borderId="0" fillId="0" fontId="8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/>
    </xf>
    <xf borderId="1" fillId="3" fontId="6" numFmtId="166" xfId="0" applyAlignment="1" applyBorder="1" applyFont="1" applyNumberFormat="1">
      <alignment horizontal="right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68" xfId="0" applyAlignment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right" readingOrder="0" shrinkToFit="0" wrapText="0"/>
    </xf>
    <xf borderId="1" fillId="0" fontId="6" numFmtId="168" xfId="0" applyAlignment="1" applyBorder="1" applyFont="1" applyNumberFormat="1">
      <alignment horizontal="right" readingOrder="0" shrinkToFit="0" wrapText="0"/>
    </xf>
    <xf borderId="0" fillId="0" fontId="7" numFmtId="0" xfId="0" applyAlignment="1" applyFont="1">
      <alignment horizontal="right" readingOrder="0" vertical="bottom"/>
    </xf>
    <xf borderId="0" fillId="3" fontId="6" numFmtId="0" xfId="0" applyAlignment="1" applyFont="1">
      <alignment horizontal="right" vertical="bottom"/>
    </xf>
    <xf borderId="0" fillId="3" fontId="6" numFmtId="167" xfId="0" applyAlignment="1" applyFont="1" applyNumberFormat="1">
      <alignment horizontal="right" vertical="bottom"/>
    </xf>
    <xf borderId="0" fillId="3" fontId="6" numFmtId="0" xfId="0" applyAlignment="1" applyFont="1">
      <alignment horizontal="right" vertical="bottom"/>
    </xf>
    <xf borderId="0" fillId="3" fontId="6" numFmtId="0" xfId="0" applyAlignment="1" applyFont="1">
      <alignment horizontal="right"/>
    </xf>
    <xf borderId="1" fillId="3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/>
    </xf>
    <xf borderId="0" fillId="0" fontId="1" numFmtId="0" xfId="0" applyFont="1"/>
    <xf borderId="0" fillId="3" fontId="9" numFmtId="0" xfId="0" applyAlignment="1" applyFont="1">
      <alignment horizontal="center" readingOrder="0" shrinkToFit="0" wrapText="0"/>
    </xf>
    <xf borderId="0" fillId="3" fontId="9" numFmtId="164" xfId="0" applyAlignment="1" applyFont="1" applyNumberFormat="1">
      <alignment horizontal="center" readingOrder="0" shrinkToFit="0" wrapText="0"/>
    </xf>
    <xf borderId="1" fillId="3" fontId="9" numFmtId="0" xfId="0" applyAlignment="1" applyBorder="1" applyFont="1">
      <alignment horizontal="center" readingOrder="0" shrinkToFit="0" wrapText="0"/>
    </xf>
    <xf borderId="1" fillId="3" fontId="9" numFmtId="16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0"/>
    <col hidden="1" min="14" max="1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4"/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6" t="s">
        <v>66</v>
      </c>
    </row>
    <row r="2">
      <c r="A2" s="7" t="s">
        <v>67</v>
      </c>
      <c r="B2" s="7" t="s">
        <v>68</v>
      </c>
      <c r="C2" s="8">
        <v>46186.0</v>
      </c>
      <c r="D2" s="7" t="s">
        <v>69</v>
      </c>
      <c r="E2" s="7" t="s">
        <v>70</v>
      </c>
      <c r="F2" s="7" t="s">
        <v>71</v>
      </c>
      <c r="G2" s="7">
        <v>68.0</v>
      </c>
      <c r="H2" s="7">
        <v>65.0</v>
      </c>
      <c r="I2" s="7">
        <v>0.0</v>
      </c>
      <c r="J2" s="7" t="s">
        <v>72</v>
      </c>
      <c r="K2" s="7" t="b">
        <v>1</v>
      </c>
      <c r="L2" s="2">
        <v>28.65</v>
      </c>
      <c r="M2" s="9">
        <v>1.19375</v>
      </c>
      <c r="N2" s="7">
        <v>28.65</v>
      </c>
      <c r="O2" s="9">
        <v>1.19375</v>
      </c>
      <c r="P2" s="7">
        <v>4.0</v>
      </c>
      <c r="Q2" s="7">
        <v>0.0</v>
      </c>
      <c r="R2" s="7">
        <v>2.0</v>
      </c>
      <c r="S2" s="7">
        <v>0.0</v>
      </c>
      <c r="T2" s="7">
        <v>6.0</v>
      </c>
      <c r="U2" s="7">
        <v>4.0</v>
      </c>
      <c r="V2" s="7">
        <v>6.0</v>
      </c>
      <c r="W2" s="7">
        <v>0.0</v>
      </c>
      <c r="X2" s="7">
        <v>8.0</v>
      </c>
      <c r="Y2" s="7">
        <v>0.0</v>
      </c>
      <c r="Z2" s="7">
        <v>0.0</v>
      </c>
      <c r="AA2" s="7">
        <v>0.6667</v>
      </c>
      <c r="AB2" s="7">
        <v>0.0</v>
      </c>
      <c r="AC2" s="7">
        <v>0.188</v>
      </c>
      <c r="AD2" s="7">
        <v>3.0</v>
      </c>
      <c r="AE2" s="7">
        <v>0.25</v>
      </c>
      <c r="AF2" s="7">
        <v>0.75</v>
      </c>
      <c r="AG2" s="7">
        <v>1.0</v>
      </c>
      <c r="AH2" s="7">
        <v>3.0</v>
      </c>
      <c r="AI2" s="7">
        <v>2.0</v>
      </c>
      <c r="AJ2" s="7">
        <v>3.0</v>
      </c>
      <c r="AK2" s="7">
        <v>1.0</v>
      </c>
      <c r="AL2" s="7">
        <v>2.0</v>
      </c>
      <c r="AM2" s="7">
        <v>0.04</v>
      </c>
      <c r="AN2" s="7">
        <v>1.0</v>
      </c>
      <c r="AO2" s="7">
        <v>2.0</v>
      </c>
      <c r="AP2" s="7">
        <v>0.222</v>
      </c>
      <c r="AQ2" s="7">
        <v>0.187</v>
      </c>
      <c r="AR2" s="7">
        <v>0.68</v>
      </c>
      <c r="AS2" s="7">
        <v>0.78</v>
      </c>
      <c r="AT2" s="7">
        <v>63.0</v>
      </c>
      <c r="AU2" s="7">
        <v>199.933</v>
      </c>
      <c r="AV2" s="7">
        <v>71.0</v>
      </c>
      <c r="AW2" s="7">
        <v>19.0</v>
      </c>
      <c r="AX2" s="7">
        <v>15.0</v>
      </c>
      <c r="AY2" s="7">
        <v>5.03</v>
      </c>
      <c r="AZ2" s="7">
        <v>3.77</v>
      </c>
      <c r="BA2" s="7">
        <v>1.26</v>
      </c>
      <c r="BB2" s="7">
        <v>2.51</v>
      </c>
      <c r="BC2" s="7">
        <v>2.51</v>
      </c>
      <c r="BD2" s="7">
        <v>1.26</v>
      </c>
      <c r="BE2" s="7">
        <v>3.77</v>
      </c>
      <c r="BF2" s="7" t="s">
        <v>73</v>
      </c>
      <c r="BG2" s="10"/>
      <c r="BH2" s="11">
        <f>IFERROR(AC2 - (SUMIFS($P:$P,$B:$B,$B2,$E:$E,$E2)
    /(2 * (SUMIFS($X:$X,$B:$B,$B2,$E:$E,$E2)
      + 0.44 * SUMIFS($V:$V,$B:$B,$B2,$E:$E,$E2)
    ))
  ),
"")</f>
        <v>-0.2404274194</v>
      </c>
      <c r="BI2" s="11"/>
      <c r="BJ2" s="12">
        <f t="shared" ref="BJ2:BJ138" si="1">IFERROR(AI2 / (X2 + 0.44*V2 + AI2), "")</f>
        <v>0.1582278481</v>
      </c>
      <c r="BK2" s="12">
        <f t="shared" ref="BK2:BK138" si="2">IFERROR(V2 / X2, "")</f>
        <v>0.75</v>
      </c>
      <c r="BL2" s="12">
        <f t="shared" ref="BL2:BL138" si="3">IFERROR(P2 / X2, "")</f>
        <v>0.5</v>
      </c>
      <c r="BM2" s="13">
        <f t="shared" ref="BM2:BM138" si="4">IFERROR((Q2*2) / P2, "")</f>
        <v>0</v>
      </c>
      <c r="BN2" s="13">
        <f t="shared" ref="BN2:BN138" si="5">IFERROR((S2*3) / P2, "")</f>
        <v>0</v>
      </c>
      <c r="BO2" s="12">
        <f t="shared" ref="BO2:BO138" si="6">IFERROR(U2 / P2, "")</f>
        <v>1</v>
      </c>
      <c r="BP2" s="14">
        <f t="shared" ref="BP2:BP138" si="7">IFERROR(AG2 / AI2, "")</f>
        <v>0.5</v>
      </c>
    </row>
    <row r="3">
      <c r="A3" s="7" t="s">
        <v>67</v>
      </c>
      <c r="B3" s="7" t="s">
        <v>68</v>
      </c>
      <c r="C3" s="8">
        <v>46186.0</v>
      </c>
      <c r="D3" s="7" t="s">
        <v>69</v>
      </c>
      <c r="E3" s="7" t="s">
        <v>70</v>
      </c>
      <c r="F3" s="7" t="s">
        <v>71</v>
      </c>
      <c r="G3" s="7">
        <v>68.0</v>
      </c>
      <c r="H3" s="7">
        <v>65.0</v>
      </c>
      <c r="I3" s="7">
        <v>2.0</v>
      </c>
      <c r="J3" s="7" t="s">
        <v>74</v>
      </c>
      <c r="K3" s="7" t="b">
        <v>0</v>
      </c>
      <c r="L3" s="2">
        <v>24.45</v>
      </c>
      <c r="M3" s="9">
        <v>1.01875</v>
      </c>
      <c r="N3" s="7">
        <v>24.45</v>
      </c>
      <c r="O3" s="9">
        <v>1.01875</v>
      </c>
      <c r="P3" s="7">
        <v>2.0</v>
      </c>
      <c r="Q3" s="7">
        <v>0.0</v>
      </c>
      <c r="R3" s="7">
        <v>6.0</v>
      </c>
      <c r="S3" s="7">
        <v>0.0</v>
      </c>
      <c r="T3" s="7">
        <v>0.0</v>
      </c>
      <c r="U3" s="7">
        <v>2.0</v>
      </c>
      <c r="V3" s="7">
        <v>2.0</v>
      </c>
      <c r="W3" s="7">
        <v>0.0</v>
      </c>
      <c r="X3" s="7">
        <v>6.0</v>
      </c>
      <c r="Y3" s="7">
        <v>0.0</v>
      </c>
      <c r="AA3" s="7">
        <v>1.0</v>
      </c>
      <c r="AB3" s="7">
        <v>0.0</v>
      </c>
      <c r="AC3" s="7">
        <v>0.1453</v>
      </c>
      <c r="AD3" s="7">
        <v>1.0</v>
      </c>
      <c r="AE3" s="7">
        <v>1.0</v>
      </c>
      <c r="AF3" s="7">
        <v>0.0</v>
      </c>
      <c r="AG3" s="7">
        <v>1.0</v>
      </c>
      <c r="AH3" s="7">
        <v>2.0</v>
      </c>
      <c r="AI3" s="7">
        <v>0.0</v>
      </c>
      <c r="AJ3" s="7">
        <v>10.0</v>
      </c>
      <c r="AK3" s="7">
        <v>5.0</v>
      </c>
      <c r="AL3" s="7">
        <v>5.0</v>
      </c>
      <c r="AM3" s="7">
        <v>0.161</v>
      </c>
      <c r="AN3" s="7">
        <v>2.0</v>
      </c>
      <c r="AO3" s="7">
        <v>1.0</v>
      </c>
      <c r="AP3" s="7">
        <v>0.138</v>
      </c>
      <c r="AQ3" s="7">
        <v>0.1192</v>
      </c>
      <c r="AR3" s="7">
        <v>0.65</v>
      </c>
      <c r="AS3" s="7">
        <v>0.7</v>
      </c>
      <c r="AT3" s="7">
        <v>49.0</v>
      </c>
      <c r="AU3" s="7">
        <v>199.933</v>
      </c>
      <c r="AV3" s="7">
        <v>71.0</v>
      </c>
      <c r="AW3" s="7">
        <v>19.0</v>
      </c>
      <c r="AX3" s="7">
        <v>15.0</v>
      </c>
      <c r="AY3" s="7">
        <v>2.94</v>
      </c>
      <c r="AZ3" s="7">
        <v>14.72</v>
      </c>
      <c r="BA3" s="7">
        <v>1.47</v>
      </c>
      <c r="BB3" s="7">
        <v>0.0</v>
      </c>
      <c r="BC3" s="7">
        <v>1.47</v>
      </c>
      <c r="BD3" s="7">
        <v>2.94</v>
      </c>
      <c r="BE3" s="7">
        <v>2.94</v>
      </c>
      <c r="BF3" s="7" t="s">
        <v>73</v>
      </c>
      <c r="BG3" s="10"/>
      <c r="BH3" s="13"/>
      <c r="BI3" s="13"/>
      <c r="BJ3" s="12">
        <f t="shared" si="1"/>
        <v>0</v>
      </c>
      <c r="BK3" s="12">
        <f t="shared" si="2"/>
        <v>0.3333333333</v>
      </c>
      <c r="BL3" s="12">
        <f t="shared" si="3"/>
        <v>0.3333333333</v>
      </c>
      <c r="BM3" s="13">
        <f t="shared" si="4"/>
        <v>0</v>
      </c>
      <c r="BN3" s="13">
        <f t="shared" si="5"/>
        <v>0</v>
      </c>
      <c r="BO3" s="12">
        <f t="shared" si="6"/>
        <v>1</v>
      </c>
      <c r="BP3" s="14" t="str">
        <f t="shared" si="7"/>
        <v/>
      </c>
    </row>
    <row r="4">
      <c r="A4" s="7" t="s">
        <v>67</v>
      </c>
      <c r="B4" s="7" t="s">
        <v>68</v>
      </c>
      <c r="C4" s="8">
        <v>46186.0</v>
      </c>
      <c r="D4" s="7" t="s">
        <v>69</v>
      </c>
      <c r="E4" s="7" t="s">
        <v>70</v>
      </c>
      <c r="F4" s="7" t="s">
        <v>71</v>
      </c>
      <c r="G4" s="7">
        <v>68.0</v>
      </c>
      <c r="H4" s="7">
        <v>65.0</v>
      </c>
      <c r="I4" s="7">
        <v>3.0</v>
      </c>
      <c r="J4" s="7" t="s">
        <v>75</v>
      </c>
      <c r="K4" s="7" t="b">
        <v>1</v>
      </c>
      <c r="L4" s="2">
        <v>32.733</v>
      </c>
      <c r="M4" s="9">
        <v>1.363888888888889</v>
      </c>
      <c r="N4" s="7">
        <v>32.733</v>
      </c>
      <c r="O4" s="9">
        <v>1.363888888888889</v>
      </c>
      <c r="P4" s="7">
        <v>13.0</v>
      </c>
      <c r="Q4" s="7">
        <v>1.0</v>
      </c>
      <c r="R4" s="7">
        <v>11.0</v>
      </c>
      <c r="S4" s="7">
        <v>3.0</v>
      </c>
      <c r="T4" s="7">
        <v>9.0</v>
      </c>
      <c r="U4" s="7">
        <v>2.0</v>
      </c>
      <c r="V4" s="7">
        <v>2.0</v>
      </c>
      <c r="W4" s="7">
        <v>4.0</v>
      </c>
      <c r="X4" s="7">
        <v>20.0</v>
      </c>
      <c r="Y4" s="7">
        <v>0.0909</v>
      </c>
      <c r="Z4" s="7">
        <v>0.3333</v>
      </c>
      <c r="AA4" s="7">
        <v>1.0</v>
      </c>
      <c r="AB4" s="7">
        <v>0.275</v>
      </c>
      <c r="AC4" s="7">
        <v>0.3113</v>
      </c>
      <c r="AD4" s="7">
        <v>1.0</v>
      </c>
      <c r="AE4" s="7">
        <v>0.55</v>
      </c>
      <c r="AF4" s="7">
        <v>0.45</v>
      </c>
      <c r="AG4" s="7">
        <v>1.0</v>
      </c>
      <c r="AH4" s="7">
        <v>0.0</v>
      </c>
      <c r="AI4" s="7">
        <v>5.0</v>
      </c>
      <c r="AJ4" s="7">
        <v>6.0</v>
      </c>
      <c r="AK4" s="7">
        <v>2.0</v>
      </c>
      <c r="AL4" s="7">
        <v>4.0</v>
      </c>
      <c r="AM4" s="7">
        <v>0.07</v>
      </c>
      <c r="AN4" s="7">
        <v>0.0</v>
      </c>
      <c r="AO4" s="7">
        <v>0.0</v>
      </c>
      <c r="AP4" s="7">
        <v>0.35</v>
      </c>
      <c r="AQ4" s="7">
        <v>0.335</v>
      </c>
      <c r="AR4" s="7">
        <v>0.72</v>
      </c>
      <c r="AS4" s="7">
        <v>0.74</v>
      </c>
      <c r="AT4" s="7">
        <v>69.0</v>
      </c>
      <c r="AU4" s="7">
        <v>199.933</v>
      </c>
      <c r="AV4" s="7">
        <v>71.0</v>
      </c>
      <c r="AW4" s="7">
        <v>19.0</v>
      </c>
      <c r="AX4" s="7">
        <v>15.0</v>
      </c>
      <c r="AY4" s="7">
        <v>14.3</v>
      </c>
      <c r="AZ4" s="7">
        <v>6.6</v>
      </c>
      <c r="BA4" s="7">
        <v>1.1</v>
      </c>
      <c r="BB4" s="7">
        <v>5.5</v>
      </c>
      <c r="BC4" s="7">
        <v>0.0</v>
      </c>
      <c r="BD4" s="7">
        <v>0.0</v>
      </c>
      <c r="BE4" s="7">
        <v>0.0</v>
      </c>
      <c r="BF4" s="7" t="s">
        <v>76</v>
      </c>
      <c r="BG4" s="10"/>
      <c r="BH4" s="5" t="s">
        <v>77</v>
      </c>
      <c r="BI4" s="5"/>
      <c r="BJ4" s="12">
        <f t="shared" si="1"/>
        <v>0.1931993818</v>
      </c>
      <c r="BK4" s="12">
        <f t="shared" si="2"/>
        <v>0.1</v>
      </c>
      <c r="BL4" s="12">
        <f t="shared" si="3"/>
        <v>0.65</v>
      </c>
      <c r="BM4" s="13">
        <f t="shared" si="4"/>
        <v>0.1538461538</v>
      </c>
      <c r="BN4" s="13">
        <f t="shared" si="5"/>
        <v>0.6923076923</v>
      </c>
      <c r="BO4" s="12">
        <f t="shared" si="6"/>
        <v>0.1538461538</v>
      </c>
      <c r="BP4" s="14">
        <f t="shared" si="7"/>
        <v>0.2</v>
      </c>
    </row>
    <row r="5">
      <c r="A5" s="7" t="s">
        <v>67</v>
      </c>
      <c r="B5" s="7" t="s">
        <v>68</v>
      </c>
      <c r="C5" s="8">
        <v>46186.0</v>
      </c>
      <c r="D5" s="7" t="s">
        <v>69</v>
      </c>
      <c r="E5" s="7" t="s">
        <v>70</v>
      </c>
      <c r="F5" s="7" t="s">
        <v>71</v>
      </c>
      <c r="G5" s="7">
        <v>68.0</v>
      </c>
      <c r="H5" s="7">
        <v>65.0</v>
      </c>
      <c r="I5" s="7">
        <v>5.0</v>
      </c>
      <c r="J5" s="7" t="s">
        <v>78</v>
      </c>
      <c r="K5" s="7" t="b">
        <v>0</v>
      </c>
      <c r="L5" s="2">
        <v>15.183</v>
      </c>
      <c r="M5" s="9">
        <v>0.6326388888888889</v>
      </c>
      <c r="N5" s="7">
        <v>15.183</v>
      </c>
      <c r="O5" s="15">
        <v>0.6326388888888889</v>
      </c>
      <c r="P5" s="7">
        <v>2.0</v>
      </c>
      <c r="Q5" s="7">
        <v>1.0</v>
      </c>
      <c r="R5" s="7">
        <v>2.0</v>
      </c>
      <c r="S5" s="7">
        <v>0.0</v>
      </c>
      <c r="T5" s="7">
        <v>0.0</v>
      </c>
      <c r="U5" s="7">
        <v>0.0</v>
      </c>
      <c r="V5" s="7">
        <v>0.0</v>
      </c>
      <c r="W5" s="7">
        <v>1.0</v>
      </c>
      <c r="X5" s="7">
        <v>2.0</v>
      </c>
      <c r="Y5" s="7">
        <v>0.5</v>
      </c>
      <c r="AB5" s="7">
        <v>0.5</v>
      </c>
      <c r="AC5" s="7">
        <v>0.5</v>
      </c>
      <c r="AD5" s="7">
        <v>0.0</v>
      </c>
      <c r="AE5" s="7">
        <v>1.0</v>
      </c>
      <c r="AF5" s="7">
        <v>0.0</v>
      </c>
      <c r="AG5" s="7">
        <v>0.0</v>
      </c>
      <c r="AH5" s="7">
        <v>0.0</v>
      </c>
      <c r="AI5" s="7">
        <v>0.0</v>
      </c>
      <c r="AJ5" s="7">
        <v>2.0</v>
      </c>
      <c r="AK5" s="7">
        <v>1.0</v>
      </c>
      <c r="AL5" s="7">
        <v>1.0</v>
      </c>
      <c r="AM5" s="7">
        <v>0.054</v>
      </c>
      <c r="AN5" s="7">
        <v>0.0</v>
      </c>
      <c r="AO5" s="7">
        <v>1.0</v>
      </c>
      <c r="AP5" s="7">
        <v>0.059</v>
      </c>
      <c r="AQ5" s="7">
        <v>0.0558</v>
      </c>
      <c r="AR5" s="7">
        <v>0.96</v>
      </c>
      <c r="AS5" s="7">
        <v>0.72</v>
      </c>
      <c r="AT5" s="7">
        <v>28.0</v>
      </c>
      <c r="AU5" s="7">
        <v>199.933</v>
      </c>
      <c r="AV5" s="7">
        <v>71.0</v>
      </c>
      <c r="AW5" s="7">
        <v>19.0</v>
      </c>
      <c r="AX5" s="7">
        <v>15.0</v>
      </c>
      <c r="AY5" s="7">
        <v>4.74</v>
      </c>
      <c r="AZ5" s="7">
        <v>4.74</v>
      </c>
      <c r="BA5" s="7">
        <v>0.0</v>
      </c>
      <c r="BB5" s="7">
        <v>0.0</v>
      </c>
      <c r="BC5" s="7">
        <v>2.37</v>
      </c>
      <c r="BD5" s="7">
        <v>0.0</v>
      </c>
      <c r="BE5" s="7">
        <v>0.0</v>
      </c>
      <c r="BF5" s="7" t="s">
        <v>79</v>
      </c>
      <c r="BG5" s="10"/>
      <c r="BH5" s="12"/>
      <c r="BI5" s="12"/>
      <c r="BJ5" s="12">
        <f t="shared" si="1"/>
        <v>0</v>
      </c>
      <c r="BK5" s="12">
        <f t="shared" si="2"/>
        <v>0</v>
      </c>
      <c r="BL5" s="12">
        <f t="shared" si="3"/>
        <v>1</v>
      </c>
      <c r="BM5" s="13">
        <f t="shared" si="4"/>
        <v>1</v>
      </c>
      <c r="BN5" s="13">
        <f t="shared" si="5"/>
        <v>0</v>
      </c>
      <c r="BO5" s="12">
        <f t="shared" si="6"/>
        <v>0</v>
      </c>
      <c r="BP5" s="14" t="str">
        <f t="shared" si="7"/>
        <v/>
      </c>
    </row>
    <row r="6">
      <c r="A6" s="7" t="s">
        <v>67</v>
      </c>
      <c r="B6" s="7" t="s">
        <v>68</v>
      </c>
      <c r="C6" s="8">
        <v>46186.0</v>
      </c>
      <c r="D6" s="7" t="s">
        <v>69</v>
      </c>
      <c r="E6" s="7" t="s">
        <v>70</v>
      </c>
      <c r="F6" s="7" t="s">
        <v>71</v>
      </c>
      <c r="G6" s="7">
        <v>68.0</v>
      </c>
      <c r="H6" s="7">
        <v>65.0</v>
      </c>
      <c r="I6" s="7">
        <v>7.0</v>
      </c>
      <c r="J6" s="7" t="s">
        <v>80</v>
      </c>
      <c r="K6" s="7" t="b">
        <v>1</v>
      </c>
      <c r="L6" s="2">
        <v>34.517</v>
      </c>
      <c r="M6" s="9">
        <v>1.4381944444444446</v>
      </c>
      <c r="N6" s="7">
        <v>34.517</v>
      </c>
      <c r="O6" s="9">
        <v>1.4381944444444446</v>
      </c>
      <c r="P6" s="7">
        <v>7.0</v>
      </c>
      <c r="Q6" s="7">
        <v>1.0</v>
      </c>
      <c r="R6" s="7">
        <v>3.0</v>
      </c>
      <c r="S6" s="7">
        <v>1.0</v>
      </c>
      <c r="T6" s="7">
        <v>5.0</v>
      </c>
      <c r="U6" s="7">
        <v>2.0</v>
      </c>
      <c r="V6" s="7">
        <v>2.0</v>
      </c>
      <c r="W6" s="7">
        <v>2.0</v>
      </c>
      <c r="X6" s="7">
        <v>8.0</v>
      </c>
      <c r="Y6" s="7">
        <v>0.3333</v>
      </c>
      <c r="Z6" s="7">
        <v>0.2</v>
      </c>
      <c r="AA6" s="7">
        <v>1.0</v>
      </c>
      <c r="AB6" s="7">
        <v>0.3125</v>
      </c>
      <c r="AC6" s="7">
        <v>0.3941</v>
      </c>
      <c r="AD6" s="7">
        <v>0.0</v>
      </c>
      <c r="AE6" s="7">
        <v>0.375</v>
      </c>
      <c r="AF6" s="7">
        <v>0.625</v>
      </c>
      <c r="AG6" s="7">
        <v>6.0</v>
      </c>
      <c r="AH6" s="7">
        <v>1.0</v>
      </c>
      <c r="AI6" s="7">
        <v>4.0</v>
      </c>
      <c r="AJ6" s="7">
        <v>8.0</v>
      </c>
      <c r="AK6" s="7">
        <v>2.0</v>
      </c>
      <c r="AL6" s="7">
        <v>6.0</v>
      </c>
      <c r="AM6" s="7">
        <v>0.092</v>
      </c>
      <c r="AN6" s="7">
        <v>0.0</v>
      </c>
      <c r="AO6" s="7">
        <v>3.0</v>
      </c>
      <c r="AP6" s="7">
        <v>0.167</v>
      </c>
      <c r="AQ6" s="7">
        <v>0.1581</v>
      </c>
      <c r="AR6" s="7">
        <v>0.85</v>
      </c>
      <c r="AS6" s="7">
        <v>0.82</v>
      </c>
      <c r="AT6" s="7">
        <v>74.0</v>
      </c>
      <c r="AU6" s="7">
        <v>199.933</v>
      </c>
      <c r="AV6" s="7">
        <v>71.0</v>
      </c>
      <c r="AW6" s="7">
        <v>19.0</v>
      </c>
      <c r="AX6" s="7">
        <v>15.0</v>
      </c>
      <c r="AY6" s="7">
        <v>7.3</v>
      </c>
      <c r="AZ6" s="7">
        <v>8.34</v>
      </c>
      <c r="BA6" s="7">
        <v>6.26</v>
      </c>
      <c r="BB6" s="7">
        <v>4.17</v>
      </c>
      <c r="BC6" s="7">
        <v>3.13</v>
      </c>
      <c r="BD6" s="7">
        <v>0.0</v>
      </c>
      <c r="BE6" s="7">
        <v>1.04</v>
      </c>
      <c r="BF6" s="7" t="s">
        <v>76</v>
      </c>
      <c r="BG6" s="10"/>
      <c r="BH6" s="12"/>
      <c r="BI6" s="12"/>
      <c r="BJ6" s="12">
        <f t="shared" si="1"/>
        <v>0.3105590062</v>
      </c>
      <c r="BK6" s="12">
        <f t="shared" si="2"/>
        <v>0.25</v>
      </c>
      <c r="BL6" s="12">
        <f t="shared" si="3"/>
        <v>0.875</v>
      </c>
      <c r="BM6" s="13">
        <f t="shared" si="4"/>
        <v>0.2857142857</v>
      </c>
      <c r="BN6" s="13">
        <f t="shared" si="5"/>
        <v>0.4285714286</v>
      </c>
      <c r="BO6" s="12">
        <f t="shared" si="6"/>
        <v>0.2857142857</v>
      </c>
      <c r="BP6" s="14">
        <f t="shared" si="7"/>
        <v>1.5</v>
      </c>
    </row>
    <row r="7">
      <c r="A7" s="7" t="s">
        <v>67</v>
      </c>
      <c r="B7" s="7" t="s">
        <v>68</v>
      </c>
      <c r="C7" s="8">
        <v>46186.0</v>
      </c>
      <c r="D7" s="7" t="s">
        <v>69</v>
      </c>
      <c r="E7" s="7" t="s">
        <v>70</v>
      </c>
      <c r="F7" s="7" t="s">
        <v>71</v>
      </c>
      <c r="G7" s="7">
        <v>68.0</v>
      </c>
      <c r="H7" s="7">
        <v>65.0</v>
      </c>
      <c r="I7" s="7">
        <v>12.0</v>
      </c>
      <c r="J7" s="7" t="s">
        <v>81</v>
      </c>
      <c r="K7" s="7" t="b">
        <v>0</v>
      </c>
      <c r="L7" s="2">
        <v>15.267</v>
      </c>
      <c r="M7" s="9">
        <v>0.6361111111111111</v>
      </c>
      <c r="N7" s="7">
        <v>15.267</v>
      </c>
      <c r="O7" s="15">
        <v>0.6361111111111111</v>
      </c>
      <c r="P7" s="7">
        <v>7.0</v>
      </c>
      <c r="Q7" s="7">
        <v>1.0</v>
      </c>
      <c r="R7" s="7">
        <v>1.0</v>
      </c>
      <c r="S7" s="7">
        <v>1.0</v>
      </c>
      <c r="T7" s="7">
        <v>2.0</v>
      </c>
      <c r="U7" s="7">
        <v>2.0</v>
      </c>
      <c r="V7" s="7">
        <v>2.0</v>
      </c>
      <c r="W7" s="7">
        <v>2.0</v>
      </c>
      <c r="X7" s="7">
        <v>3.0</v>
      </c>
      <c r="Y7" s="7">
        <v>1.0</v>
      </c>
      <c r="Z7" s="7">
        <v>0.5</v>
      </c>
      <c r="AA7" s="7">
        <v>1.0</v>
      </c>
      <c r="AB7" s="7">
        <v>0.8333</v>
      </c>
      <c r="AC7" s="7">
        <v>0.9021</v>
      </c>
      <c r="AD7" s="7">
        <v>1.0</v>
      </c>
      <c r="AE7" s="7">
        <v>0.333</v>
      </c>
      <c r="AF7" s="7">
        <v>0.667</v>
      </c>
      <c r="AG7" s="7">
        <v>0.0</v>
      </c>
      <c r="AH7" s="7">
        <v>1.0</v>
      </c>
      <c r="AI7" s="7">
        <v>0.0</v>
      </c>
      <c r="AJ7" s="7">
        <v>4.0</v>
      </c>
      <c r="AK7" s="7">
        <v>0.0</v>
      </c>
      <c r="AL7" s="7">
        <v>4.0</v>
      </c>
      <c r="AM7" s="7">
        <v>0.103</v>
      </c>
      <c r="AN7" s="7">
        <v>0.0</v>
      </c>
      <c r="AO7" s="7">
        <v>0.0</v>
      </c>
      <c r="AP7" s="7">
        <v>0.147</v>
      </c>
      <c r="AQ7" s="7">
        <v>0.1077</v>
      </c>
      <c r="AR7" s="7">
        <v>1.04</v>
      </c>
      <c r="AS7" s="7">
        <v>0.75</v>
      </c>
      <c r="AT7" s="7">
        <v>28.0</v>
      </c>
      <c r="AU7" s="7">
        <v>199.933</v>
      </c>
      <c r="AV7" s="7">
        <v>71.0</v>
      </c>
      <c r="AW7" s="7">
        <v>19.0</v>
      </c>
      <c r="AX7" s="7">
        <v>15.0</v>
      </c>
      <c r="AY7" s="7">
        <v>16.51</v>
      </c>
      <c r="AZ7" s="7">
        <v>9.43</v>
      </c>
      <c r="BA7" s="7">
        <v>0.0</v>
      </c>
      <c r="BB7" s="7">
        <v>0.0</v>
      </c>
      <c r="BC7" s="7">
        <v>0.0</v>
      </c>
      <c r="BD7" s="7">
        <v>0.0</v>
      </c>
      <c r="BE7" s="7">
        <v>2.36</v>
      </c>
      <c r="BF7" s="7" t="s">
        <v>76</v>
      </c>
      <c r="BG7" s="10"/>
      <c r="BH7" s="12"/>
      <c r="BI7" s="12"/>
      <c r="BJ7" s="12">
        <f t="shared" si="1"/>
        <v>0</v>
      </c>
      <c r="BK7" s="12">
        <f t="shared" si="2"/>
        <v>0.6666666667</v>
      </c>
      <c r="BL7" s="12">
        <f t="shared" si="3"/>
        <v>2.333333333</v>
      </c>
      <c r="BM7" s="13">
        <f t="shared" si="4"/>
        <v>0.2857142857</v>
      </c>
      <c r="BN7" s="13">
        <f t="shared" si="5"/>
        <v>0.4285714286</v>
      </c>
      <c r="BO7" s="12">
        <f t="shared" si="6"/>
        <v>0.2857142857</v>
      </c>
      <c r="BP7" s="14" t="str">
        <f t="shared" si="7"/>
        <v/>
      </c>
    </row>
    <row r="8">
      <c r="A8" s="7" t="s">
        <v>67</v>
      </c>
      <c r="B8" s="7" t="s">
        <v>68</v>
      </c>
      <c r="C8" s="8">
        <v>46186.0</v>
      </c>
      <c r="D8" s="7" t="s">
        <v>69</v>
      </c>
      <c r="E8" s="7" t="s">
        <v>70</v>
      </c>
      <c r="F8" s="7" t="s">
        <v>71</v>
      </c>
      <c r="G8" s="7">
        <v>68.0</v>
      </c>
      <c r="H8" s="7">
        <v>65.0</v>
      </c>
      <c r="I8" s="7">
        <v>24.0</v>
      </c>
      <c r="J8" s="7" t="s">
        <v>82</v>
      </c>
      <c r="K8" s="7" t="b">
        <v>1</v>
      </c>
      <c r="L8" s="2">
        <v>33.6</v>
      </c>
      <c r="M8" s="9">
        <v>1.4</v>
      </c>
      <c r="N8" s="7">
        <v>33.6</v>
      </c>
      <c r="O8" s="9">
        <v>1.4</v>
      </c>
      <c r="P8" s="7">
        <v>22.0</v>
      </c>
      <c r="Q8" s="7">
        <v>6.0</v>
      </c>
      <c r="R8" s="7">
        <v>9.0</v>
      </c>
      <c r="S8" s="7">
        <v>2.0</v>
      </c>
      <c r="T8" s="7">
        <v>2.0</v>
      </c>
      <c r="U8" s="7">
        <v>4.0</v>
      </c>
      <c r="V8" s="7">
        <v>5.0</v>
      </c>
      <c r="W8" s="7">
        <v>8.0</v>
      </c>
      <c r="X8" s="7">
        <v>11.0</v>
      </c>
      <c r="Y8" s="7">
        <v>0.6667</v>
      </c>
      <c r="Z8" s="7">
        <v>1.0</v>
      </c>
      <c r="AA8" s="7">
        <v>0.8</v>
      </c>
      <c r="AB8" s="7">
        <v>0.8182</v>
      </c>
      <c r="AC8" s="7">
        <v>0.8333</v>
      </c>
      <c r="AD8" s="7">
        <v>2.0</v>
      </c>
      <c r="AE8" s="7">
        <v>0.818</v>
      </c>
      <c r="AF8" s="7">
        <v>0.182</v>
      </c>
      <c r="AG8" s="7">
        <v>3.0</v>
      </c>
      <c r="AH8" s="7">
        <v>3.0</v>
      </c>
      <c r="AI8" s="7">
        <v>1.0</v>
      </c>
      <c r="AJ8" s="7">
        <v>6.0</v>
      </c>
      <c r="AK8" s="7">
        <v>0.0</v>
      </c>
      <c r="AL8" s="7">
        <v>6.0</v>
      </c>
      <c r="AM8" s="7">
        <v>0.068</v>
      </c>
      <c r="AN8" s="7">
        <v>0.0</v>
      </c>
      <c r="AO8" s="7">
        <v>0.0</v>
      </c>
      <c r="AP8" s="7">
        <v>0.214</v>
      </c>
      <c r="AQ8" s="7">
        <v>0.1791</v>
      </c>
      <c r="AR8" s="7">
        <v>0.86</v>
      </c>
      <c r="AS8" s="7">
        <v>0.78</v>
      </c>
      <c r="AT8" s="7">
        <v>70.0</v>
      </c>
      <c r="AU8" s="7">
        <v>199.933</v>
      </c>
      <c r="AV8" s="7">
        <v>71.0</v>
      </c>
      <c r="AW8" s="7">
        <v>19.0</v>
      </c>
      <c r="AX8" s="7">
        <v>15.0</v>
      </c>
      <c r="AY8" s="7">
        <v>23.57</v>
      </c>
      <c r="AZ8" s="7">
        <v>6.43</v>
      </c>
      <c r="BA8" s="7">
        <v>3.21</v>
      </c>
      <c r="BB8" s="7">
        <v>1.07</v>
      </c>
      <c r="BC8" s="7">
        <v>0.0</v>
      </c>
      <c r="BD8" s="7">
        <v>0.0</v>
      </c>
      <c r="BE8" s="7">
        <v>3.21</v>
      </c>
      <c r="BF8" s="7" t="s">
        <v>76</v>
      </c>
      <c r="BG8" s="10"/>
      <c r="BH8" s="12"/>
      <c r="BI8" s="12"/>
      <c r="BJ8" s="12">
        <f t="shared" si="1"/>
        <v>0.07042253521</v>
      </c>
      <c r="BK8" s="12">
        <f t="shared" si="2"/>
        <v>0.4545454545</v>
      </c>
      <c r="BL8" s="12">
        <f t="shared" si="3"/>
        <v>2</v>
      </c>
      <c r="BM8" s="13">
        <f t="shared" si="4"/>
        <v>0.5454545455</v>
      </c>
      <c r="BN8" s="13">
        <f t="shared" si="5"/>
        <v>0.2727272727</v>
      </c>
      <c r="BO8" s="12">
        <f t="shared" si="6"/>
        <v>0.1818181818</v>
      </c>
      <c r="BP8" s="14">
        <f t="shared" si="7"/>
        <v>3</v>
      </c>
    </row>
    <row r="9">
      <c r="A9" s="7" t="s">
        <v>67</v>
      </c>
      <c r="B9" s="7" t="s">
        <v>68</v>
      </c>
      <c r="C9" s="8">
        <v>46186.0</v>
      </c>
      <c r="D9" s="7" t="s">
        <v>69</v>
      </c>
      <c r="E9" s="7" t="s">
        <v>70</v>
      </c>
      <c r="F9" s="7" t="s">
        <v>71</v>
      </c>
      <c r="G9" s="7">
        <v>68.0</v>
      </c>
      <c r="H9" s="7">
        <v>65.0</v>
      </c>
      <c r="I9" s="7">
        <v>32.0</v>
      </c>
      <c r="J9" s="7" t="s">
        <v>83</v>
      </c>
      <c r="K9" s="7" t="b">
        <v>1</v>
      </c>
      <c r="L9" s="2">
        <v>15.533</v>
      </c>
      <c r="M9" s="9">
        <v>0.6472222222222223</v>
      </c>
      <c r="N9" s="7">
        <v>15.533</v>
      </c>
      <c r="O9" s="15">
        <v>0.6472222222222223</v>
      </c>
      <c r="P9" s="7">
        <v>11.0</v>
      </c>
      <c r="Q9" s="7">
        <v>4.0</v>
      </c>
      <c r="R9" s="7">
        <v>7.0</v>
      </c>
      <c r="S9" s="7">
        <v>1.0</v>
      </c>
      <c r="T9" s="7">
        <v>6.0</v>
      </c>
      <c r="U9" s="7">
        <v>0.0</v>
      </c>
      <c r="V9" s="7">
        <v>0.0</v>
      </c>
      <c r="W9" s="7">
        <v>5.0</v>
      </c>
      <c r="X9" s="7">
        <v>13.0</v>
      </c>
      <c r="Y9" s="7">
        <v>0.5714</v>
      </c>
      <c r="Z9" s="7">
        <v>0.1667</v>
      </c>
      <c r="AB9" s="7">
        <v>0.4231</v>
      </c>
      <c r="AC9" s="7">
        <v>0.4231</v>
      </c>
      <c r="AD9" s="7">
        <v>0.0</v>
      </c>
      <c r="AE9" s="7">
        <v>0.538</v>
      </c>
      <c r="AF9" s="7">
        <v>0.462</v>
      </c>
      <c r="AG9" s="7">
        <v>1.0</v>
      </c>
      <c r="AH9" s="7">
        <v>0.0</v>
      </c>
      <c r="AI9" s="7">
        <v>0.0</v>
      </c>
      <c r="AJ9" s="7">
        <v>7.0</v>
      </c>
      <c r="AK9" s="7">
        <v>1.0</v>
      </c>
      <c r="AL9" s="7">
        <v>6.0</v>
      </c>
      <c r="AM9" s="7">
        <v>0.171</v>
      </c>
      <c r="AN9" s="7">
        <v>2.0</v>
      </c>
      <c r="AO9" s="7">
        <v>0.0</v>
      </c>
      <c r="AP9" s="7">
        <v>0.333</v>
      </c>
      <c r="AQ9" s="7">
        <v>0.3547</v>
      </c>
      <c r="AR9" s="7">
        <v>1.06</v>
      </c>
      <c r="AS9" s="7">
        <v>0.88</v>
      </c>
      <c r="AT9" s="7">
        <v>34.0</v>
      </c>
      <c r="AU9" s="7">
        <v>199.933</v>
      </c>
      <c r="AV9" s="7">
        <v>71.0</v>
      </c>
      <c r="AW9" s="7">
        <v>19.0</v>
      </c>
      <c r="AX9" s="7">
        <v>15.0</v>
      </c>
      <c r="AY9" s="7">
        <v>25.49</v>
      </c>
      <c r="AZ9" s="7">
        <v>16.22</v>
      </c>
      <c r="BA9" s="7">
        <v>2.32</v>
      </c>
      <c r="BB9" s="7">
        <v>0.0</v>
      </c>
      <c r="BC9" s="7">
        <v>0.0</v>
      </c>
      <c r="BD9" s="7">
        <v>4.64</v>
      </c>
      <c r="BE9" s="7">
        <v>0.0</v>
      </c>
      <c r="BF9" s="7" t="s">
        <v>84</v>
      </c>
      <c r="BG9" s="10"/>
      <c r="BH9" s="12"/>
      <c r="BI9" s="12"/>
      <c r="BJ9" s="12">
        <f t="shared" si="1"/>
        <v>0</v>
      </c>
      <c r="BK9" s="12">
        <f t="shared" si="2"/>
        <v>0</v>
      </c>
      <c r="BL9" s="12">
        <f t="shared" si="3"/>
        <v>0.8461538462</v>
      </c>
      <c r="BM9" s="13">
        <f t="shared" si="4"/>
        <v>0.7272727273</v>
      </c>
      <c r="BN9" s="13">
        <f t="shared" si="5"/>
        <v>0.2727272727</v>
      </c>
      <c r="BO9" s="12">
        <f t="shared" si="6"/>
        <v>0</v>
      </c>
      <c r="BP9" s="14" t="str">
        <f t="shared" si="7"/>
        <v/>
      </c>
    </row>
    <row r="10">
      <c r="A10" s="7" t="s">
        <v>67</v>
      </c>
      <c r="B10" s="7" t="s">
        <v>68</v>
      </c>
      <c r="C10" s="8">
        <v>46186.0</v>
      </c>
      <c r="D10" s="7" t="s">
        <v>69</v>
      </c>
      <c r="E10" s="7" t="s">
        <v>71</v>
      </c>
      <c r="F10" s="7" t="s">
        <v>70</v>
      </c>
      <c r="G10" s="7">
        <v>65.0</v>
      </c>
      <c r="H10" s="7">
        <v>68.0</v>
      </c>
      <c r="I10" s="7">
        <v>1.0</v>
      </c>
      <c r="J10" s="7" t="s">
        <v>85</v>
      </c>
      <c r="K10" s="7" t="b">
        <v>0</v>
      </c>
      <c r="L10" s="2">
        <v>20.667</v>
      </c>
      <c r="M10" s="9">
        <v>0.8611111111111112</v>
      </c>
      <c r="N10" s="7">
        <v>20.667</v>
      </c>
      <c r="O10" s="15">
        <v>0.8611111111111112</v>
      </c>
      <c r="P10" s="7">
        <v>9.0</v>
      </c>
      <c r="Q10" s="7">
        <v>4.0</v>
      </c>
      <c r="R10" s="7">
        <v>6.0</v>
      </c>
      <c r="S10" s="7">
        <v>0.0</v>
      </c>
      <c r="T10" s="7">
        <v>0.0</v>
      </c>
      <c r="U10" s="7">
        <v>1.0</v>
      </c>
      <c r="V10" s="7">
        <v>2.0</v>
      </c>
      <c r="W10" s="7">
        <v>4.0</v>
      </c>
      <c r="X10" s="7">
        <v>6.0</v>
      </c>
      <c r="Y10" s="7">
        <v>0.6667</v>
      </c>
      <c r="AA10" s="7">
        <v>0.5</v>
      </c>
      <c r="AB10" s="7">
        <v>0.6667</v>
      </c>
      <c r="AC10" s="7">
        <v>0.6541</v>
      </c>
      <c r="AD10" s="7">
        <v>1.0</v>
      </c>
      <c r="AE10" s="7">
        <v>1.0</v>
      </c>
      <c r="AF10" s="7">
        <v>0.0</v>
      </c>
      <c r="AG10" s="7">
        <v>0.0</v>
      </c>
      <c r="AH10" s="7">
        <v>2.0</v>
      </c>
      <c r="AI10" s="7">
        <v>0.0</v>
      </c>
      <c r="AJ10" s="7">
        <v>8.0</v>
      </c>
      <c r="AK10" s="7">
        <v>4.0</v>
      </c>
      <c r="AL10" s="7">
        <v>4.0</v>
      </c>
      <c r="AM10" s="7">
        <v>0.145</v>
      </c>
      <c r="AN10" s="7">
        <v>2.0</v>
      </c>
      <c r="AO10" s="7">
        <v>0.0</v>
      </c>
      <c r="AP10" s="7">
        <v>0.154</v>
      </c>
      <c r="AQ10" s="7">
        <v>0.1386</v>
      </c>
      <c r="AR10" s="7">
        <v>0.57</v>
      </c>
      <c r="AS10" s="7">
        <v>0.6</v>
      </c>
      <c r="AT10" s="7">
        <v>42.0</v>
      </c>
      <c r="AU10" s="7">
        <v>199.933</v>
      </c>
      <c r="AV10" s="7">
        <v>75.0</v>
      </c>
      <c r="AW10" s="7">
        <v>16.0</v>
      </c>
      <c r="AX10" s="7">
        <v>14.0</v>
      </c>
      <c r="AY10" s="7">
        <v>15.68</v>
      </c>
      <c r="AZ10" s="7">
        <v>13.94</v>
      </c>
      <c r="BA10" s="7">
        <v>0.0</v>
      </c>
      <c r="BB10" s="7">
        <v>0.0</v>
      </c>
      <c r="BC10" s="7">
        <v>0.0</v>
      </c>
      <c r="BD10" s="7">
        <v>3.48</v>
      </c>
      <c r="BE10" s="7">
        <v>3.48</v>
      </c>
      <c r="BF10" s="7" t="s">
        <v>86</v>
      </c>
      <c r="BG10" s="10"/>
      <c r="BH10" s="12"/>
      <c r="BI10" s="12"/>
      <c r="BJ10" s="12">
        <f t="shared" si="1"/>
        <v>0</v>
      </c>
      <c r="BK10" s="12">
        <f t="shared" si="2"/>
        <v>0.3333333333</v>
      </c>
      <c r="BL10" s="12">
        <f t="shared" si="3"/>
        <v>1.5</v>
      </c>
      <c r="BM10" s="13">
        <f t="shared" si="4"/>
        <v>0.8888888889</v>
      </c>
      <c r="BN10" s="13">
        <f t="shared" si="5"/>
        <v>0</v>
      </c>
      <c r="BO10" s="12">
        <f t="shared" si="6"/>
        <v>0.1111111111</v>
      </c>
      <c r="BP10" s="14" t="str">
        <f t="shared" si="7"/>
        <v/>
      </c>
    </row>
    <row r="11">
      <c r="A11" s="7" t="s">
        <v>67</v>
      </c>
      <c r="B11" s="7" t="s">
        <v>68</v>
      </c>
      <c r="C11" s="8">
        <v>46186.0</v>
      </c>
      <c r="D11" s="7" t="s">
        <v>69</v>
      </c>
      <c r="E11" s="7" t="s">
        <v>71</v>
      </c>
      <c r="F11" s="7" t="s">
        <v>70</v>
      </c>
      <c r="G11" s="7">
        <v>65.0</v>
      </c>
      <c r="H11" s="7">
        <v>68.0</v>
      </c>
      <c r="I11" s="7">
        <v>2.0</v>
      </c>
      <c r="J11" s="7" t="s">
        <v>87</v>
      </c>
      <c r="K11" s="7" t="b">
        <v>0</v>
      </c>
      <c r="L11" s="2">
        <v>17.85</v>
      </c>
      <c r="M11" s="9">
        <v>0.74375</v>
      </c>
      <c r="N11" s="7">
        <v>17.85</v>
      </c>
      <c r="O11" s="15">
        <v>0.74375</v>
      </c>
      <c r="P11" s="7">
        <v>6.0</v>
      </c>
      <c r="Q11" s="7">
        <v>0.0</v>
      </c>
      <c r="R11" s="7">
        <v>1.0</v>
      </c>
      <c r="S11" s="7">
        <v>1.0</v>
      </c>
      <c r="T11" s="7">
        <v>9.0</v>
      </c>
      <c r="U11" s="7">
        <v>3.0</v>
      </c>
      <c r="V11" s="7">
        <v>5.0</v>
      </c>
      <c r="W11" s="7">
        <v>1.0</v>
      </c>
      <c r="X11" s="7">
        <v>10.0</v>
      </c>
      <c r="Y11" s="7">
        <v>0.0</v>
      </c>
      <c r="Z11" s="7">
        <v>0.1111</v>
      </c>
      <c r="AA11" s="7">
        <v>0.6</v>
      </c>
      <c r="AB11" s="7">
        <v>0.15</v>
      </c>
      <c r="AC11" s="7">
        <v>0.2459</v>
      </c>
      <c r="AD11" s="7">
        <v>2.0</v>
      </c>
      <c r="AE11" s="7">
        <v>0.1</v>
      </c>
      <c r="AF11" s="7">
        <v>0.9</v>
      </c>
      <c r="AG11" s="7">
        <v>0.0</v>
      </c>
      <c r="AH11" s="7">
        <v>1.0</v>
      </c>
      <c r="AI11" s="7">
        <v>0.0</v>
      </c>
      <c r="AJ11" s="7">
        <v>4.0</v>
      </c>
      <c r="AK11" s="7">
        <v>0.0</v>
      </c>
      <c r="AL11" s="7">
        <v>4.0</v>
      </c>
      <c r="AM11" s="7">
        <v>0.085</v>
      </c>
      <c r="AN11" s="7">
        <v>1.0</v>
      </c>
      <c r="AO11" s="7">
        <v>2.0</v>
      </c>
      <c r="AP11" s="7">
        <v>0.326</v>
      </c>
      <c r="AQ11" s="7">
        <v>0.2846</v>
      </c>
      <c r="AR11" s="7">
        <v>0.57</v>
      </c>
      <c r="AS11" s="7">
        <v>0.74</v>
      </c>
      <c r="AT11" s="7">
        <v>35.0</v>
      </c>
      <c r="AU11" s="7">
        <v>199.933</v>
      </c>
      <c r="AV11" s="7">
        <v>75.0</v>
      </c>
      <c r="AW11" s="7">
        <v>16.0</v>
      </c>
      <c r="AX11" s="7">
        <v>14.0</v>
      </c>
      <c r="AY11" s="7">
        <v>12.1</v>
      </c>
      <c r="AZ11" s="7">
        <v>8.07</v>
      </c>
      <c r="BA11" s="7">
        <v>0.0</v>
      </c>
      <c r="BB11" s="7">
        <v>0.0</v>
      </c>
      <c r="BC11" s="7">
        <v>4.03</v>
      </c>
      <c r="BD11" s="7">
        <v>2.02</v>
      </c>
      <c r="BE11" s="7">
        <v>2.02</v>
      </c>
      <c r="BF11" s="7" t="s">
        <v>88</v>
      </c>
      <c r="BG11" s="10"/>
      <c r="BH11" s="12"/>
      <c r="BI11" s="12"/>
      <c r="BJ11" s="12">
        <f t="shared" si="1"/>
        <v>0</v>
      </c>
      <c r="BK11" s="12">
        <f t="shared" si="2"/>
        <v>0.5</v>
      </c>
      <c r="BL11" s="12">
        <f t="shared" si="3"/>
        <v>0.6</v>
      </c>
      <c r="BM11" s="13">
        <f t="shared" si="4"/>
        <v>0</v>
      </c>
      <c r="BN11" s="13">
        <f t="shared" si="5"/>
        <v>0.5</v>
      </c>
      <c r="BO11" s="12">
        <f t="shared" si="6"/>
        <v>0.5</v>
      </c>
      <c r="BP11" s="14" t="str">
        <f t="shared" si="7"/>
        <v/>
      </c>
    </row>
    <row r="12">
      <c r="A12" s="7" t="s">
        <v>67</v>
      </c>
      <c r="B12" s="7" t="s">
        <v>68</v>
      </c>
      <c r="C12" s="8">
        <v>46186.0</v>
      </c>
      <c r="D12" s="7" t="s">
        <v>69</v>
      </c>
      <c r="E12" s="7" t="s">
        <v>71</v>
      </c>
      <c r="F12" s="7" t="s">
        <v>70</v>
      </c>
      <c r="G12" s="7">
        <v>65.0</v>
      </c>
      <c r="H12" s="7">
        <v>68.0</v>
      </c>
      <c r="I12" s="7">
        <v>3.0</v>
      </c>
      <c r="J12" s="7" t="s">
        <v>89</v>
      </c>
      <c r="K12" s="7" t="b">
        <v>1</v>
      </c>
      <c r="L12" s="2">
        <v>24.033</v>
      </c>
      <c r="M12" s="9">
        <v>1.0013888888888889</v>
      </c>
      <c r="N12" s="7">
        <v>24.033</v>
      </c>
      <c r="O12" s="9">
        <v>1.0013888888888889</v>
      </c>
      <c r="P12" s="7">
        <v>7.0</v>
      </c>
      <c r="Q12" s="7">
        <v>3.0</v>
      </c>
      <c r="R12" s="7">
        <v>7.0</v>
      </c>
      <c r="S12" s="7">
        <v>0.0</v>
      </c>
      <c r="T12" s="7">
        <v>4.0</v>
      </c>
      <c r="U12" s="7">
        <v>1.0</v>
      </c>
      <c r="V12" s="7">
        <v>2.0</v>
      </c>
      <c r="W12" s="7">
        <v>3.0</v>
      </c>
      <c r="X12" s="7">
        <v>11.0</v>
      </c>
      <c r="Y12" s="7">
        <v>0.4286</v>
      </c>
      <c r="Z12" s="7">
        <v>0.0</v>
      </c>
      <c r="AA12" s="7">
        <v>0.5</v>
      </c>
      <c r="AB12" s="7">
        <v>0.2727</v>
      </c>
      <c r="AC12" s="7">
        <v>0.2946</v>
      </c>
      <c r="AD12" s="7">
        <v>1.0</v>
      </c>
      <c r="AE12" s="7">
        <v>0.636</v>
      </c>
      <c r="AF12" s="7">
        <v>0.364</v>
      </c>
      <c r="AG12" s="7">
        <v>3.0</v>
      </c>
      <c r="AH12" s="7">
        <v>0.0</v>
      </c>
      <c r="AI12" s="7">
        <v>2.0</v>
      </c>
      <c r="AJ12" s="7">
        <v>6.0</v>
      </c>
      <c r="AK12" s="7">
        <v>3.0</v>
      </c>
      <c r="AL12" s="7">
        <v>3.0</v>
      </c>
      <c r="AM12" s="7">
        <v>0.094</v>
      </c>
      <c r="AN12" s="7">
        <v>0.0</v>
      </c>
      <c r="AO12" s="7">
        <v>2.0</v>
      </c>
      <c r="AP12" s="7">
        <v>0.254</v>
      </c>
      <c r="AQ12" s="7">
        <v>0.2405</v>
      </c>
      <c r="AR12" s="7">
        <v>0.88</v>
      </c>
      <c r="AS12" s="7">
        <v>0.85</v>
      </c>
      <c r="AT12" s="7">
        <v>52.0</v>
      </c>
      <c r="AU12" s="7">
        <v>199.933</v>
      </c>
      <c r="AV12" s="7">
        <v>75.0</v>
      </c>
      <c r="AW12" s="7">
        <v>16.0</v>
      </c>
      <c r="AX12" s="7">
        <v>14.0</v>
      </c>
      <c r="AY12" s="7">
        <v>10.49</v>
      </c>
      <c r="AZ12" s="7">
        <v>8.99</v>
      </c>
      <c r="BA12" s="7">
        <v>4.49</v>
      </c>
      <c r="BB12" s="7">
        <v>3.0</v>
      </c>
      <c r="BC12" s="7">
        <v>3.0</v>
      </c>
      <c r="BD12" s="7">
        <v>0.0</v>
      </c>
      <c r="BE12" s="7">
        <v>0.0</v>
      </c>
      <c r="BF12" s="7" t="s">
        <v>86</v>
      </c>
      <c r="BG12" s="10"/>
      <c r="BH12" s="12"/>
      <c r="BI12" s="12"/>
      <c r="BJ12" s="12">
        <f t="shared" si="1"/>
        <v>0.144092219</v>
      </c>
      <c r="BK12" s="12">
        <f t="shared" si="2"/>
        <v>0.1818181818</v>
      </c>
      <c r="BL12" s="12">
        <f t="shared" si="3"/>
        <v>0.6363636364</v>
      </c>
      <c r="BM12" s="13">
        <f t="shared" si="4"/>
        <v>0.8571428571</v>
      </c>
      <c r="BN12" s="13">
        <f t="shared" si="5"/>
        <v>0</v>
      </c>
      <c r="BO12" s="12">
        <f t="shared" si="6"/>
        <v>0.1428571429</v>
      </c>
      <c r="BP12" s="14">
        <f t="shared" si="7"/>
        <v>1.5</v>
      </c>
    </row>
    <row r="13">
      <c r="A13" s="7" t="s">
        <v>67</v>
      </c>
      <c r="B13" s="7" t="s">
        <v>68</v>
      </c>
      <c r="C13" s="8">
        <v>46186.0</v>
      </c>
      <c r="D13" s="7" t="s">
        <v>69</v>
      </c>
      <c r="E13" s="7" t="s">
        <v>71</v>
      </c>
      <c r="F13" s="7" t="s">
        <v>70</v>
      </c>
      <c r="G13" s="7">
        <v>65.0</v>
      </c>
      <c r="H13" s="7">
        <v>68.0</v>
      </c>
      <c r="I13" s="7">
        <v>5.0</v>
      </c>
      <c r="J13" s="7" t="s">
        <v>90</v>
      </c>
      <c r="K13" s="7" t="b">
        <v>0</v>
      </c>
      <c r="L13" s="2">
        <v>9.667</v>
      </c>
      <c r="M13" s="9">
        <v>0.4027777777777778</v>
      </c>
      <c r="N13" s="7">
        <v>9.667</v>
      </c>
      <c r="O13" s="15">
        <v>0.4027777777777778</v>
      </c>
      <c r="P13" s="7">
        <v>0.0</v>
      </c>
      <c r="Q13" s="7">
        <v>0.0</v>
      </c>
      <c r="R13" s="7">
        <v>1.0</v>
      </c>
      <c r="S13" s="7">
        <v>0.0</v>
      </c>
      <c r="T13" s="7">
        <v>1.0</v>
      </c>
      <c r="U13" s="7">
        <v>0.0</v>
      </c>
      <c r="V13" s="7">
        <v>0.0</v>
      </c>
      <c r="W13" s="7">
        <v>0.0</v>
      </c>
      <c r="X13" s="7">
        <v>2.0</v>
      </c>
      <c r="Y13" s="7">
        <v>0.0</v>
      </c>
      <c r="Z13" s="7">
        <v>0.0</v>
      </c>
      <c r="AB13" s="7">
        <v>0.0</v>
      </c>
      <c r="AC13" s="7">
        <v>0.0</v>
      </c>
      <c r="AD13" s="7">
        <v>0.0</v>
      </c>
      <c r="AE13" s="7">
        <v>0.5</v>
      </c>
      <c r="AF13" s="7">
        <v>0.5</v>
      </c>
      <c r="AG13" s="7">
        <v>2.0</v>
      </c>
      <c r="AH13" s="7">
        <v>0.0</v>
      </c>
      <c r="AI13" s="7">
        <v>2.0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1.0</v>
      </c>
      <c r="AP13" s="7">
        <v>0.174</v>
      </c>
      <c r="AQ13" s="7">
        <v>0.1723</v>
      </c>
      <c r="AR13" s="7">
        <v>0.56</v>
      </c>
      <c r="AS13" s="7">
        <v>0.58</v>
      </c>
      <c r="AT13" s="7">
        <v>18.0</v>
      </c>
      <c r="AU13" s="7">
        <v>199.933</v>
      </c>
      <c r="AV13" s="7">
        <v>75.0</v>
      </c>
      <c r="AW13" s="7">
        <v>16.0</v>
      </c>
      <c r="AX13" s="7">
        <v>14.0</v>
      </c>
      <c r="AY13" s="7">
        <v>0.0</v>
      </c>
      <c r="AZ13" s="7">
        <v>0.0</v>
      </c>
      <c r="BA13" s="7">
        <v>7.45</v>
      </c>
      <c r="BB13" s="7">
        <v>7.45</v>
      </c>
      <c r="BC13" s="7">
        <v>3.72</v>
      </c>
      <c r="BD13" s="7">
        <v>0.0</v>
      </c>
      <c r="BE13" s="7">
        <v>0.0</v>
      </c>
      <c r="BF13" s="2" t="s">
        <v>86</v>
      </c>
      <c r="BG13" s="10"/>
      <c r="BH13" s="12"/>
      <c r="BI13" s="12"/>
      <c r="BJ13" s="12">
        <f t="shared" si="1"/>
        <v>0.5</v>
      </c>
      <c r="BK13" s="12">
        <f t="shared" si="2"/>
        <v>0</v>
      </c>
      <c r="BL13" s="12">
        <f t="shared" si="3"/>
        <v>0</v>
      </c>
      <c r="BM13" s="13" t="str">
        <f t="shared" si="4"/>
        <v/>
      </c>
      <c r="BN13" s="13" t="str">
        <f t="shared" si="5"/>
        <v/>
      </c>
      <c r="BO13" s="12" t="str">
        <f t="shared" si="6"/>
        <v/>
      </c>
      <c r="BP13" s="14">
        <f t="shared" si="7"/>
        <v>1</v>
      </c>
    </row>
    <row r="14">
      <c r="A14" s="7" t="s">
        <v>67</v>
      </c>
      <c r="B14" s="7" t="s">
        <v>68</v>
      </c>
      <c r="C14" s="8">
        <v>46186.0</v>
      </c>
      <c r="D14" s="7" t="s">
        <v>69</v>
      </c>
      <c r="E14" s="7" t="s">
        <v>71</v>
      </c>
      <c r="F14" s="7" t="s">
        <v>70</v>
      </c>
      <c r="G14" s="7">
        <v>65.0</v>
      </c>
      <c r="H14" s="7">
        <v>68.0</v>
      </c>
      <c r="I14" s="7">
        <v>8.0</v>
      </c>
      <c r="J14" s="7" t="s">
        <v>91</v>
      </c>
      <c r="K14" s="7" t="b">
        <v>1</v>
      </c>
      <c r="L14" s="2">
        <v>28.5</v>
      </c>
      <c r="M14" s="9">
        <v>1.1875</v>
      </c>
      <c r="N14" s="7">
        <v>28.5</v>
      </c>
      <c r="O14" s="9">
        <v>1.1875</v>
      </c>
      <c r="P14" s="7">
        <v>8.0</v>
      </c>
      <c r="Q14" s="7">
        <v>4.0</v>
      </c>
      <c r="R14" s="7">
        <v>7.0</v>
      </c>
      <c r="S14" s="7">
        <v>0.0</v>
      </c>
      <c r="T14" s="7">
        <v>3.0</v>
      </c>
      <c r="U14" s="7">
        <v>0.0</v>
      </c>
      <c r="V14" s="7">
        <v>1.0</v>
      </c>
      <c r="W14" s="7">
        <v>4.0</v>
      </c>
      <c r="X14" s="7">
        <v>10.0</v>
      </c>
      <c r="Y14" s="7">
        <v>0.5714</v>
      </c>
      <c r="Z14" s="7">
        <v>0.0</v>
      </c>
      <c r="AA14" s="7">
        <v>0.0</v>
      </c>
      <c r="AB14" s="7">
        <v>0.4</v>
      </c>
      <c r="AC14" s="7">
        <v>0.3831</v>
      </c>
      <c r="AD14" s="7">
        <v>0.0</v>
      </c>
      <c r="AE14" s="7">
        <v>0.7</v>
      </c>
      <c r="AF14" s="7">
        <v>0.3</v>
      </c>
      <c r="AG14" s="7">
        <v>7.0</v>
      </c>
      <c r="AH14" s="7">
        <v>2.0</v>
      </c>
      <c r="AI14" s="7">
        <v>2.0</v>
      </c>
      <c r="AJ14" s="7">
        <v>7.0</v>
      </c>
      <c r="AK14" s="7">
        <v>0.0</v>
      </c>
      <c r="AL14" s="7">
        <v>7.0</v>
      </c>
      <c r="AM14" s="7">
        <v>0.097</v>
      </c>
      <c r="AN14" s="7">
        <v>0.0</v>
      </c>
      <c r="AO14" s="7">
        <v>0.0</v>
      </c>
      <c r="AP14" s="7">
        <v>0.2</v>
      </c>
      <c r="AQ14" s="7">
        <v>0.1817</v>
      </c>
      <c r="AR14" s="7">
        <v>0.85</v>
      </c>
      <c r="AS14" s="7">
        <v>0.9</v>
      </c>
      <c r="AT14" s="7">
        <v>62.0</v>
      </c>
      <c r="AU14" s="7">
        <v>199.933</v>
      </c>
      <c r="AV14" s="7">
        <v>75.0</v>
      </c>
      <c r="AW14" s="7">
        <v>16.0</v>
      </c>
      <c r="AX14" s="7">
        <v>14.0</v>
      </c>
      <c r="AY14" s="7">
        <v>10.11</v>
      </c>
      <c r="AZ14" s="7">
        <v>8.84</v>
      </c>
      <c r="BA14" s="7">
        <v>8.84</v>
      </c>
      <c r="BB14" s="7">
        <v>2.53</v>
      </c>
      <c r="BC14" s="7">
        <v>0.0</v>
      </c>
      <c r="BD14" s="7">
        <v>0.0</v>
      </c>
      <c r="BE14" s="7">
        <v>2.53</v>
      </c>
      <c r="BF14" s="7" t="s">
        <v>79</v>
      </c>
      <c r="BG14" s="10"/>
      <c r="BH14" s="12"/>
      <c r="BI14" s="12"/>
      <c r="BJ14" s="12">
        <f t="shared" si="1"/>
        <v>0.1607717042</v>
      </c>
      <c r="BK14" s="12">
        <f t="shared" si="2"/>
        <v>0.1</v>
      </c>
      <c r="BL14" s="12">
        <f t="shared" si="3"/>
        <v>0.8</v>
      </c>
      <c r="BM14" s="13">
        <f t="shared" si="4"/>
        <v>1</v>
      </c>
      <c r="BN14" s="13">
        <f t="shared" si="5"/>
        <v>0</v>
      </c>
      <c r="BO14" s="12">
        <f t="shared" si="6"/>
        <v>0</v>
      </c>
      <c r="BP14" s="14">
        <f t="shared" si="7"/>
        <v>3.5</v>
      </c>
    </row>
    <row r="15">
      <c r="A15" s="7" t="s">
        <v>67</v>
      </c>
      <c r="B15" s="7" t="s">
        <v>68</v>
      </c>
      <c r="C15" s="8">
        <v>46186.0</v>
      </c>
      <c r="D15" s="7" t="s">
        <v>69</v>
      </c>
      <c r="E15" s="7" t="s">
        <v>71</v>
      </c>
      <c r="F15" s="7" t="s">
        <v>70</v>
      </c>
      <c r="G15" s="7">
        <v>65.0</v>
      </c>
      <c r="H15" s="7">
        <v>68.0</v>
      </c>
      <c r="I15" s="7">
        <v>10.0</v>
      </c>
      <c r="J15" s="7" t="s">
        <v>92</v>
      </c>
      <c r="K15" s="7" t="b">
        <v>1</v>
      </c>
      <c r="L15" s="2">
        <v>37.85</v>
      </c>
      <c r="M15" s="9">
        <v>1.5770833333333334</v>
      </c>
      <c r="N15" s="7">
        <v>37.85</v>
      </c>
      <c r="O15" s="9">
        <v>1.5770833333333334</v>
      </c>
      <c r="P15" s="7">
        <v>10.0</v>
      </c>
      <c r="Q15" s="7">
        <v>1.0</v>
      </c>
      <c r="R15" s="7">
        <v>2.0</v>
      </c>
      <c r="S15" s="7">
        <v>2.0</v>
      </c>
      <c r="T15" s="7">
        <v>12.0</v>
      </c>
      <c r="U15" s="7">
        <v>2.0</v>
      </c>
      <c r="V15" s="7">
        <v>2.0</v>
      </c>
      <c r="W15" s="7">
        <v>3.0</v>
      </c>
      <c r="X15" s="7">
        <v>14.0</v>
      </c>
      <c r="Y15" s="7">
        <v>0.5</v>
      </c>
      <c r="Z15" s="7">
        <v>0.1667</v>
      </c>
      <c r="AA15" s="7">
        <v>1.0</v>
      </c>
      <c r="AB15" s="7">
        <v>0.2857</v>
      </c>
      <c r="AC15" s="7">
        <v>0.336</v>
      </c>
      <c r="AD15" s="7">
        <v>1.0</v>
      </c>
      <c r="AE15" s="7">
        <v>0.143</v>
      </c>
      <c r="AF15" s="7">
        <v>0.857</v>
      </c>
      <c r="AG15" s="7">
        <v>1.0</v>
      </c>
      <c r="AH15" s="7">
        <v>3.0</v>
      </c>
      <c r="AI15" s="7">
        <v>3.0</v>
      </c>
      <c r="AJ15" s="7">
        <v>3.0</v>
      </c>
      <c r="AK15" s="7">
        <v>0.0</v>
      </c>
      <c r="AL15" s="7">
        <v>3.0</v>
      </c>
      <c r="AM15" s="7">
        <v>0.032</v>
      </c>
      <c r="AN15" s="7">
        <v>1.0</v>
      </c>
      <c r="AO15" s="7">
        <v>1.0</v>
      </c>
      <c r="AP15" s="7">
        <v>0.207</v>
      </c>
      <c r="AQ15" s="7">
        <v>0.1967</v>
      </c>
      <c r="AR15" s="7">
        <v>0.8</v>
      </c>
      <c r="AS15" s="7">
        <v>0.84</v>
      </c>
      <c r="AT15" s="7">
        <v>80.0</v>
      </c>
      <c r="AU15" s="7">
        <v>199.933</v>
      </c>
      <c r="AV15" s="7">
        <v>75.0</v>
      </c>
      <c r="AW15" s="7">
        <v>16.0</v>
      </c>
      <c r="AX15" s="7">
        <v>14.0</v>
      </c>
      <c r="AY15" s="7">
        <v>9.51</v>
      </c>
      <c r="AZ15" s="7">
        <v>2.85</v>
      </c>
      <c r="BA15" s="7">
        <v>0.95</v>
      </c>
      <c r="BB15" s="7">
        <v>2.85</v>
      </c>
      <c r="BC15" s="7">
        <v>0.95</v>
      </c>
      <c r="BD15" s="7">
        <v>0.95</v>
      </c>
      <c r="BE15" s="7">
        <v>2.85</v>
      </c>
      <c r="BF15" s="7" t="s">
        <v>76</v>
      </c>
      <c r="BG15" s="10"/>
      <c r="BH15" s="12"/>
      <c r="BI15" s="12"/>
      <c r="BJ15" s="12">
        <f t="shared" si="1"/>
        <v>0.1677852349</v>
      </c>
      <c r="BK15" s="12">
        <f t="shared" si="2"/>
        <v>0.1428571429</v>
      </c>
      <c r="BL15" s="12">
        <f t="shared" si="3"/>
        <v>0.7142857143</v>
      </c>
      <c r="BM15" s="13">
        <f t="shared" si="4"/>
        <v>0.2</v>
      </c>
      <c r="BN15" s="13">
        <f t="shared" si="5"/>
        <v>0.6</v>
      </c>
      <c r="BO15" s="12">
        <f t="shared" si="6"/>
        <v>0.2</v>
      </c>
      <c r="BP15" s="14">
        <f t="shared" si="7"/>
        <v>0.3333333333</v>
      </c>
    </row>
    <row r="16">
      <c r="A16" s="7" t="s">
        <v>67</v>
      </c>
      <c r="B16" s="7" t="s">
        <v>68</v>
      </c>
      <c r="C16" s="8">
        <v>46186.0</v>
      </c>
      <c r="D16" s="7" t="s">
        <v>69</v>
      </c>
      <c r="E16" s="7" t="s">
        <v>71</v>
      </c>
      <c r="F16" s="7" t="s">
        <v>70</v>
      </c>
      <c r="G16" s="7">
        <v>65.0</v>
      </c>
      <c r="H16" s="7">
        <v>68.0</v>
      </c>
      <c r="I16" s="7">
        <v>23.0</v>
      </c>
      <c r="J16" s="7" t="s">
        <v>93</v>
      </c>
      <c r="K16" s="7" t="b">
        <v>1</v>
      </c>
      <c r="L16" s="2">
        <v>34.167</v>
      </c>
      <c r="M16" s="9">
        <v>1.4236111111111112</v>
      </c>
      <c r="N16" s="7">
        <v>34.167</v>
      </c>
      <c r="O16" s="9">
        <v>1.4236111111111112</v>
      </c>
      <c r="P16" s="7">
        <v>18.0</v>
      </c>
      <c r="Q16" s="7">
        <v>8.0</v>
      </c>
      <c r="R16" s="7">
        <v>11.0</v>
      </c>
      <c r="S16" s="7">
        <v>0.0</v>
      </c>
      <c r="T16" s="7">
        <v>0.0</v>
      </c>
      <c r="U16" s="7">
        <v>2.0</v>
      </c>
      <c r="V16" s="7">
        <v>4.0</v>
      </c>
      <c r="W16" s="7">
        <v>8.0</v>
      </c>
      <c r="X16" s="7">
        <v>11.0</v>
      </c>
      <c r="Y16" s="7">
        <v>0.7273</v>
      </c>
      <c r="AA16" s="7">
        <v>0.5</v>
      </c>
      <c r="AB16" s="7">
        <v>0.7273</v>
      </c>
      <c r="AC16" s="7">
        <v>0.7053</v>
      </c>
      <c r="AD16" s="7">
        <v>2.0</v>
      </c>
      <c r="AE16" s="7">
        <v>1.0</v>
      </c>
      <c r="AF16" s="7">
        <v>0.0</v>
      </c>
      <c r="AG16" s="7">
        <v>2.0</v>
      </c>
      <c r="AH16" s="7">
        <v>1.0</v>
      </c>
      <c r="AI16" s="7">
        <v>2.0</v>
      </c>
      <c r="AJ16" s="7">
        <v>8.0</v>
      </c>
      <c r="AK16" s="7">
        <v>4.0</v>
      </c>
      <c r="AL16" s="7">
        <v>4.0</v>
      </c>
      <c r="AM16" s="7">
        <v>0.092</v>
      </c>
      <c r="AN16" s="7">
        <v>1.0</v>
      </c>
      <c r="AO16" s="7">
        <v>3.0</v>
      </c>
      <c r="AP16" s="7">
        <v>0.202</v>
      </c>
      <c r="AQ16" s="7">
        <v>0.1799</v>
      </c>
      <c r="AR16" s="7">
        <v>0.85</v>
      </c>
      <c r="AS16" s="7">
        <v>0.87</v>
      </c>
      <c r="AT16" s="7">
        <v>73.0</v>
      </c>
      <c r="AU16" s="7">
        <v>199.933</v>
      </c>
      <c r="AV16" s="7">
        <v>75.0</v>
      </c>
      <c r="AW16" s="7">
        <v>16.0</v>
      </c>
      <c r="AX16" s="7">
        <v>14.0</v>
      </c>
      <c r="AY16" s="7">
        <v>18.97</v>
      </c>
      <c r="AZ16" s="7">
        <v>8.43</v>
      </c>
      <c r="BA16" s="7">
        <v>2.11</v>
      </c>
      <c r="BB16" s="7">
        <v>2.11</v>
      </c>
      <c r="BC16" s="7">
        <v>3.16</v>
      </c>
      <c r="BD16" s="7">
        <v>1.05</v>
      </c>
      <c r="BE16" s="7">
        <v>1.05</v>
      </c>
      <c r="BF16" s="7" t="s">
        <v>86</v>
      </c>
      <c r="BG16" s="10"/>
      <c r="BH16" s="12"/>
      <c r="BI16" s="12"/>
      <c r="BJ16" s="12">
        <f t="shared" si="1"/>
        <v>0.135501355</v>
      </c>
      <c r="BK16" s="12">
        <f t="shared" si="2"/>
        <v>0.3636363636</v>
      </c>
      <c r="BL16" s="12">
        <f t="shared" si="3"/>
        <v>1.636363636</v>
      </c>
      <c r="BM16" s="13">
        <f t="shared" si="4"/>
        <v>0.8888888889</v>
      </c>
      <c r="BN16" s="13">
        <f t="shared" si="5"/>
        <v>0</v>
      </c>
      <c r="BO16" s="12">
        <f t="shared" si="6"/>
        <v>0.1111111111</v>
      </c>
      <c r="BP16" s="14">
        <f t="shared" si="7"/>
        <v>1</v>
      </c>
    </row>
    <row r="17">
      <c r="A17" s="7" t="s">
        <v>67</v>
      </c>
      <c r="B17" s="7" t="s">
        <v>68</v>
      </c>
      <c r="C17" s="8">
        <v>46186.0</v>
      </c>
      <c r="D17" s="7" t="s">
        <v>69</v>
      </c>
      <c r="E17" s="7" t="s">
        <v>71</v>
      </c>
      <c r="F17" s="7" t="s">
        <v>70</v>
      </c>
      <c r="G17" s="7">
        <v>65.0</v>
      </c>
      <c r="H17" s="7">
        <v>68.0</v>
      </c>
      <c r="I17" s="7">
        <v>24.0</v>
      </c>
      <c r="J17" s="7" t="s">
        <v>94</v>
      </c>
      <c r="K17" s="7" t="b">
        <v>1</v>
      </c>
      <c r="L17" s="2">
        <v>27.2</v>
      </c>
      <c r="M17" s="9">
        <v>1.1333333333333333</v>
      </c>
      <c r="N17" s="7">
        <v>27.2</v>
      </c>
      <c r="O17" s="9">
        <v>1.1333333333333333</v>
      </c>
      <c r="P17" s="7">
        <v>7.0</v>
      </c>
      <c r="Q17" s="7">
        <v>2.0</v>
      </c>
      <c r="R17" s="7">
        <v>9.0</v>
      </c>
      <c r="S17" s="7">
        <v>1.0</v>
      </c>
      <c r="T17" s="7">
        <v>2.0</v>
      </c>
      <c r="U17" s="7">
        <v>0.0</v>
      </c>
      <c r="V17" s="7">
        <v>0.0</v>
      </c>
      <c r="W17" s="7">
        <v>3.0</v>
      </c>
      <c r="X17" s="7">
        <v>11.0</v>
      </c>
      <c r="Y17" s="7">
        <v>0.2222</v>
      </c>
      <c r="Z17" s="7">
        <v>0.5</v>
      </c>
      <c r="AB17" s="7">
        <v>0.3182</v>
      </c>
      <c r="AC17" s="7">
        <v>0.3182</v>
      </c>
      <c r="AD17" s="7">
        <v>0.0</v>
      </c>
      <c r="AE17" s="7">
        <v>0.818</v>
      </c>
      <c r="AF17" s="7">
        <v>0.182</v>
      </c>
      <c r="AG17" s="7">
        <v>1.0</v>
      </c>
      <c r="AH17" s="7">
        <v>3.0</v>
      </c>
      <c r="AI17" s="7">
        <v>3.0</v>
      </c>
      <c r="AJ17" s="7">
        <v>10.0</v>
      </c>
      <c r="AK17" s="7">
        <v>2.0</v>
      </c>
      <c r="AL17" s="7">
        <v>8.0</v>
      </c>
      <c r="AM17" s="7">
        <v>0.145</v>
      </c>
      <c r="AN17" s="7">
        <v>1.0</v>
      </c>
      <c r="AO17" s="7">
        <v>0.0</v>
      </c>
      <c r="AP17" s="7">
        <v>0.226</v>
      </c>
      <c r="AQ17" s="7">
        <v>0.2143</v>
      </c>
      <c r="AR17" s="7">
        <v>0.79</v>
      </c>
      <c r="AS17" s="7">
        <v>0.91</v>
      </c>
      <c r="AT17" s="7">
        <v>58.0</v>
      </c>
      <c r="AU17" s="7">
        <v>199.933</v>
      </c>
      <c r="AV17" s="7">
        <v>75.0</v>
      </c>
      <c r="AW17" s="7">
        <v>16.0</v>
      </c>
      <c r="AX17" s="7">
        <v>14.0</v>
      </c>
      <c r="AY17" s="7">
        <v>9.26</v>
      </c>
      <c r="AZ17" s="7">
        <v>13.24</v>
      </c>
      <c r="BA17" s="7">
        <v>1.32</v>
      </c>
      <c r="BB17" s="7">
        <v>3.97</v>
      </c>
      <c r="BC17" s="7">
        <v>0.0</v>
      </c>
      <c r="BD17" s="7">
        <v>1.32</v>
      </c>
      <c r="BE17" s="7">
        <v>3.97</v>
      </c>
      <c r="BF17" s="7" t="s">
        <v>84</v>
      </c>
      <c r="BG17" s="10"/>
      <c r="BH17" s="12"/>
      <c r="BI17" s="12"/>
      <c r="BJ17" s="12">
        <f t="shared" si="1"/>
        <v>0.2142857143</v>
      </c>
      <c r="BK17" s="12">
        <f t="shared" si="2"/>
        <v>0</v>
      </c>
      <c r="BL17" s="12">
        <f t="shared" si="3"/>
        <v>0.6363636364</v>
      </c>
      <c r="BM17" s="13">
        <f t="shared" si="4"/>
        <v>0.5714285714</v>
      </c>
      <c r="BN17" s="13">
        <f t="shared" si="5"/>
        <v>0.4285714286</v>
      </c>
      <c r="BO17" s="12">
        <f t="shared" si="6"/>
        <v>0</v>
      </c>
      <c r="BP17" s="14">
        <f t="shared" si="7"/>
        <v>0.3333333333</v>
      </c>
    </row>
    <row r="18">
      <c r="A18" s="7" t="s">
        <v>95</v>
      </c>
      <c r="B18" s="7" t="s">
        <v>96</v>
      </c>
      <c r="C18" s="8">
        <v>46186.0</v>
      </c>
      <c r="D18" s="7" t="s">
        <v>97</v>
      </c>
      <c r="E18" s="7" t="s">
        <v>98</v>
      </c>
      <c r="F18" s="7" t="s">
        <v>99</v>
      </c>
      <c r="G18" s="7">
        <v>77.0</v>
      </c>
      <c r="H18" s="7">
        <v>74.0</v>
      </c>
      <c r="I18" s="7">
        <v>0.0</v>
      </c>
      <c r="J18" s="7" t="s">
        <v>100</v>
      </c>
      <c r="K18" s="7" t="b">
        <v>0</v>
      </c>
      <c r="L18" s="2">
        <v>13.383</v>
      </c>
      <c r="M18" s="9">
        <v>0.5576388888888889</v>
      </c>
      <c r="N18" s="7">
        <v>13.383</v>
      </c>
      <c r="O18" s="15">
        <v>0.5576388888888889</v>
      </c>
      <c r="P18" s="7">
        <v>2.0</v>
      </c>
      <c r="Q18" s="7">
        <v>1.0</v>
      </c>
      <c r="R18" s="7">
        <v>3.0</v>
      </c>
      <c r="S18" s="7">
        <v>0.0</v>
      </c>
      <c r="T18" s="7">
        <v>1.0</v>
      </c>
      <c r="U18" s="7">
        <v>0.0</v>
      </c>
      <c r="V18" s="7">
        <v>0.0</v>
      </c>
      <c r="W18" s="7">
        <v>1.0</v>
      </c>
      <c r="X18" s="7">
        <v>4.0</v>
      </c>
      <c r="Y18" s="7">
        <v>0.3333</v>
      </c>
      <c r="Z18" s="7">
        <v>0.0</v>
      </c>
      <c r="AB18" s="7">
        <v>0.25</v>
      </c>
      <c r="AC18" s="7">
        <v>0.25</v>
      </c>
      <c r="AD18" s="7">
        <v>0.0</v>
      </c>
      <c r="AE18" s="7">
        <v>0.75</v>
      </c>
      <c r="AF18" s="7">
        <v>0.25</v>
      </c>
      <c r="AG18" s="7">
        <v>0.0</v>
      </c>
      <c r="AH18" s="7">
        <v>0.0</v>
      </c>
      <c r="AI18" s="7">
        <v>1.0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1.0</v>
      </c>
      <c r="AP18" s="7">
        <v>0.217</v>
      </c>
      <c r="AQ18" s="7">
        <v>0.1856</v>
      </c>
      <c r="AR18" s="7">
        <v>0.52</v>
      </c>
      <c r="AS18" s="7">
        <v>0.95</v>
      </c>
      <c r="AU18" s="7">
        <v>249.917</v>
      </c>
      <c r="AV18" s="7">
        <v>61.0</v>
      </c>
      <c r="AW18" s="7">
        <v>31.0</v>
      </c>
      <c r="AX18" s="7">
        <v>26.0</v>
      </c>
      <c r="AY18" s="7">
        <v>5.38</v>
      </c>
      <c r="AZ18" s="7">
        <v>0.0</v>
      </c>
      <c r="BA18" s="7">
        <v>0.0</v>
      </c>
      <c r="BB18" s="7">
        <v>2.69</v>
      </c>
      <c r="BC18" s="7">
        <v>2.69</v>
      </c>
      <c r="BD18" s="7">
        <v>0.0</v>
      </c>
      <c r="BE18" s="7">
        <v>0.0</v>
      </c>
      <c r="BF18" s="7" t="s">
        <v>79</v>
      </c>
      <c r="BG18" s="10"/>
      <c r="BH18" s="12"/>
      <c r="BI18" s="12"/>
      <c r="BJ18" s="12">
        <f t="shared" si="1"/>
        <v>0.2</v>
      </c>
      <c r="BK18" s="12">
        <f t="shared" si="2"/>
        <v>0</v>
      </c>
      <c r="BL18" s="12">
        <f t="shared" si="3"/>
        <v>0.5</v>
      </c>
      <c r="BM18" s="13">
        <f t="shared" si="4"/>
        <v>1</v>
      </c>
      <c r="BN18" s="13">
        <f t="shared" si="5"/>
        <v>0</v>
      </c>
      <c r="BO18" s="12">
        <f t="shared" si="6"/>
        <v>0</v>
      </c>
      <c r="BP18" s="14">
        <f t="shared" si="7"/>
        <v>0</v>
      </c>
    </row>
    <row r="19">
      <c r="A19" s="7" t="s">
        <v>95</v>
      </c>
      <c r="B19" s="7" t="s">
        <v>96</v>
      </c>
      <c r="C19" s="8">
        <v>46186.0</v>
      </c>
      <c r="D19" s="7" t="s">
        <v>97</v>
      </c>
      <c r="E19" s="7" t="s">
        <v>98</v>
      </c>
      <c r="F19" s="7" t="s">
        <v>99</v>
      </c>
      <c r="G19" s="7">
        <v>77.0</v>
      </c>
      <c r="H19" s="7">
        <v>74.0</v>
      </c>
      <c r="I19" s="7">
        <v>2.0</v>
      </c>
      <c r="J19" s="7" t="s">
        <v>101</v>
      </c>
      <c r="K19" s="7" t="b">
        <v>0</v>
      </c>
      <c r="L19" s="2">
        <v>25.417</v>
      </c>
      <c r="M19" s="9">
        <v>1.0590277777777777</v>
      </c>
      <c r="N19" s="7">
        <v>25.417</v>
      </c>
      <c r="O19" s="9">
        <v>1.0590277777777777</v>
      </c>
      <c r="P19" s="7">
        <v>7.0</v>
      </c>
      <c r="Q19" s="7">
        <v>0.0</v>
      </c>
      <c r="R19" s="7">
        <v>0.0</v>
      </c>
      <c r="S19" s="7">
        <v>1.0</v>
      </c>
      <c r="T19" s="7">
        <v>1.0</v>
      </c>
      <c r="U19" s="7">
        <v>4.0</v>
      </c>
      <c r="V19" s="7">
        <v>4.0</v>
      </c>
      <c r="W19" s="7">
        <v>1.0</v>
      </c>
      <c r="X19" s="7">
        <v>1.0</v>
      </c>
      <c r="Z19" s="7">
        <v>1.0</v>
      </c>
      <c r="AA19" s="7">
        <v>1.0</v>
      </c>
      <c r="AB19" s="7">
        <v>1.5</v>
      </c>
      <c r="AC19" s="7">
        <v>1.2681</v>
      </c>
      <c r="AD19" s="7">
        <v>1.0</v>
      </c>
      <c r="AE19" s="7">
        <v>0.0</v>
      </c>
      <c r="AF19" s="7">
        <v>1.0</v>
      </c>
      <c r="AG19" s="7">
        <v>0.0</v>
      </c>
      <c r="AH19" s="7">
        <v>1.0</v>
      </c>
      <c r="AI19" s="7">
        <v>3.0</v>
      </c>
      <c r="AJ19" s="7">
        <v>2.0</v>
      </c>
      <c r="AK19" s="7">
        <v>1.0</v>
      </c>
      <c r="AL19" s="7">
        <v>1.0</v>
      </c>
      <c r="AM19" s="7">
        <v>0.05</v>
      </c>
      <c r="AN19" s="7">
        <v>0.0</v>
      </c>
      <c r="AO19" s="7">
        <v>1.0</v>
      </c>
      <c r="AP19" s="7">
        <v>0.154</v>
      </c>
      <c r="AQ19" s="7">
        <v>0.1126</v>
      </c>
      <c r="AR19" s="7">
        <v>0.84</v>
      </c>
      <c r="AS19" s="7">
        <v>0.68</v>
      </c>
      <c r="AU19" s="7">
        <v>249.917</v>
      </c>
      <c r="AV19" s="7">
        <v>61.0</v>
      </c>
      <c r="AW19" s="7">
        <v>31.0</v>
      </c>
      <c r="AX19" s="7">
        <v>26.0</v>
      </c>
      <c r="AY19" s="7">
        <v>9.91</v>
      </c>
      <c r="AZ19" s="7">
        <v>2.83</v>
      </c>
      <c r="BA19" s="7">
        <v>0.0</v>
      </c>
      <c r="BB19" s="7">
        <v>4.25</v>
      </c>
      <c r="BC19" s="7">
        <v>1.42</v>
      </c>
      <c r="BD19" s="7">
        <v>0.0</v>
      </c>
      <c r="BE19" s="7">
        <v>1.42</v>
      </c>
      <c r="BF19" s="7" t="s">
        <v>88</v>
      </c>
      <c r="BG19" s="10"/>
      <c r="BH19" s="12"/>
      <c r="BI19" s="12"/>
      <c r="BJ19" s="12">
        <f t="shared" si="1"/>
        <v>0.5208333333</v>
      </c>
      <c r="BK19" s="12">
        <f t="shared" si="2"/>
        <v>4</v>
      </c>
      <c r="BL19" s="12">
        <f t="shared" si="3"/>
        <v>7</v>
      </c>
      <c r="BM19" s="13">
        <f t="shared" si="4"/>
        <v>0</v>
      </c>
      <c r="BN19" s="13">
        <f t="shared" si="5"/>
        <v>0.4285714286</v>
      </c>
      <c r="BO19" s="12">
        <f t="shared" si="6"/>
        <v>0.5714285714</v>
      </c>
      <c r="BP19" s="14">
        <f t="shared" si="7"/>
        <v>0</v>
      </c>
    </row>
    <row r="20">
      <c r="A20" s="7" t="s">
        <v>95</v>
      </c>
      <c r="B20" s="7" t="s">
        <v>96</v>
      </c>
      <c r="C20" s="8">
        <v>46186.0</v>
      </c>
      <c r="D20" s="7" t="s">
        <v>97</v>
      </c>
      <c r="E20" s="7" t="s">
        <v>98</v>
      </c>
      <c r="F20" s="7" t="s">
        <v>99</v>
      </c>
      <c r="G20" s="7">
        <v>77.0</v>
      </c>
      <c r="H20" s="7">
        <v>74.0</v>
      </c>
      <c r="I20" s="7">
        <v>3.0</v>
      </c>
      <c r="J20" s="7" t="s">
        <v>102</v>
      </c>
      <c r="K20" s="7" t="b">
        <v>1</v>
      </c>
      <c r="L20" s="2">
        <v>0.033</v>
      </c>
      <c r="M20" s="9">
        <v>0.001388888888888889</v>
      </c>
      <c r="N20" s="7">
        <v>0.033</v>
      </c>
      <c r="O20" s="15">
        <v>0.001388888888888889</v>
      </c>
      <c r="P20" s="7">
        <v>6.0</v>
      </c>
      <c r="Q20" s="7">
        <v>0.0</v>
      </c>
      <c r="R20" s="7">
        <v>0.0</v>
      </c>
      <c r="S20" s="7">
        <v>2.0</v>
      </c>
      <c r="T20" s="7">
        <v>2.0</v>
      </c>
      <c r="U20" s="7">
        <v>0.0</v>
      </c>
      <c r="V20" s="7">
        <v>0.0</v>
      </c>
      <c r="W20" s="7">
        <v>2.0</v>
      </c>
      <c r="X20" s="7">
        <v>2.0</v>
      </c>
      <c r="Z20" s="7">
        <v>1.0</v>
      </c>
      <c r="AB20" s="7">
        <v>1.5</v>
      </c>
      <c r="AC20" s="7">
        <v>1.5</v>
      </c>
      <c r="AD20" s="7">
        <v>0.0</v>
      </c>
      <c r="AE20" s="7">
        <v>0.0</v>
      </c>
      <c r="AF20" s="7">
        <v>1.0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N20" s="7">
        <v>0.0</v>
      </c>
      <c r="AO20" s="7">
        <v>0.0</v>
      </c>
      <c r="AP20" s="7">
        <v>1.0</v>
      </c>
      <c r="AQ20" s="7">
        <v>29.8291</v>
      </c>
      <c r="AR20" s="7">
        <v>3.0</v>
      </c>
      <c r="AS20" s="7">
        <v>3.5</v>
      </c>
      <c r="AU20" s="7">
        <v>249.917</v>
      </c>
      <c r="AV20" s="7">
        <v>61.0</v>
      </c>
      <c r="AW20" s="7">
        <v>31.0</v>
      </c>
      <c r="AX20" s="7">
        <v>26.0</v>
      </c>
      <c r="AY20" s="7">
        <v>6486.49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 t="s">
        <v>103</v>
      </c>
      <c r="BG20" s="10"/>
      <c r="BH20" s="12"/>
      <c r="BI20" s="12"/>
      <c r="BJ20" s="12">
        <f t="shared" si="1"/>
        <v>0</v>
      </c>
      <c r="BK20" s="12">
        <f t="shared" si="2"/>
        <v>0</v>
      </c>
      <c r="BL20" s="12">
        <f t="shared" si="3"/>
        <v>3</v>
      </c>
      <c r="BM20" s="13">
        <f t="shared" si="4"/>
        <v>0</v>
      </c>
      <c r="BN20" s="13">
        <f t="shared" si="5"/>
        <v>1</v>
      </c>
      <c r="BO20" s="12">
        <f t="shared" si="6"/>
        <v>0</v>
      </c>
      <c r="BP20" s="14" t="str">
        <f t="shared" si="7"/>
        <v/>
      </c>
    </row>
    <row r="21">
      <c r="A21" s="7" t="s">
        <v>95</v>
      </c>
      <c r="B21" s="7" t="s">
        <v>96</v>
      </c>
      <c r="C21" s="8">
        <v>46186.0</v>
      </c>
      <c r="D21" s="7" t="s">
        <v>97</v>
      </c>
      <c r="E21" s="7" t="s">
        <v>98</v>
      </c>
      <c r="F21" s="7" t="s">
        <v>99</v>
      </c>
      <c r="G21" s="7">
        <v>77.0</v>
      </c>
      <c r="H21" s="7">
        <v>74.0</v>
      </c>
      <c r="I21" s="7">
        <v>5.0</v>
      </c>
      <c r="J21" s="7" t="s">
        <v>104</v>
      </c>
      <c r="K21" s="7" t="b">
        <v>0</v>
      </c>
      <c r="L21" s="2">
        <v>29.467</v>
      </c>
      <c r="M21" s="9">
        <v>1.2277777777777779</v>
      </c>
      <c r="N21" s="7">
        <v>29.467</v>
      </c>
      <c r="O21" s="9">
        <v>1.2277777777777779</v>
      </c>
      <c r="P21" s="7">
        <v>16.0</v>
      </c>
      <c r="Q21" s="7">
        <v>5.0</v>
      </c>
      <c r="R21" s="7">
        <v>8.0</v>
      </c>
      <c r="S21" s="7">
        <v>1.0</v>
      </c>
      <c r="T21" s="7">
        <v>7.0</v>
      </c>
      <c r="U21" s="7">
        <v>3.0</v>
      </c>
      <c r="V21" s="7">
        <v>5.0</v>
      </c>
      <c r="W21" s="7">
        <v>6.0</v>
      </c>
      <c r="X21" s="7">
        <v>15.0</v>
      </c>
      <c r="Y21" s="7">
        <v>0.625</v>
      </c>
      <c r="Z21" s="7">
        <v>0.1429</v>
      </c>
      <c r="AA21" s="7">
        <v>0.6</v>
      </c>
      <c r="AB21" s="7">
        <v>0.4333</v>
      </c>
      <c r="AC21" s="7">
        <v>0.4651</v>
      </c>
      <c r="AD21" s="7">
        <v>1.0</v>
      </c>
      <c r="AE21" s="7">
        <v>0.533</v>
      </c>
      <c r="AF21" s="7">
        <v>0.467</v>
      </c>
      <c r="AG21" s="7">
        <v>1.0</v>
      </c>
      <c r="AH21" s="7">
        <v>5.0</v>
      </c>
      <c r="AI21" s="7">
        <v>2.0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3.0</v>
      </c>
      <c r="AP21" s="7">
        <v>0.407</v>
      </c>
      <c r="AQ21" s="7">
        <v>0.3236</v>
      </c>
      <c r="AR21" s="7">
        <v>0.82</v>
      </c>
      <c r="AS21" s="7">
        <v>0.91</v>
      </c>
      <c r="AU21" s="7">
        <v>249.917</v>
      </c>
      <c r="AV21" s="7">
        <v>61.0</v>
      </c>
      <c r="AW21" s="7">
        <v>31.0</v>
      </c>
      <c r="AX21" s="7">
        <v>26.0</v>
      </c>
      <c r="AY21" s="7">
        <v>19.55</v>
      </c>
      <c r="AZ21" s="7">
        <v>0.0</v>
      </c>
      <c r="BA21" s="7">
        <v>1.22</v>
      </c>
      <c r="BB21" s="7">
        <v>2.44</v>
      </c>
      <c r="BC21" s="7">
        <v>3.67</v>
      </c>
      <c r="BD21" s="7">
        <v>0.0</v>
      </c>
      <c r="BE21" s="7">
        <v>6.11</v>
      </c>
      <c r="BF21" s="7" t="s">
        <v>76</v>
      </c>
      <c r="BG21" s="10"/>
      <c r="BH21" s="12"/>
      <c r="BI21" s="12"/>
      <c r="BJ21" s="12">
        <f t="shared" si="1"/>
        <v>0.1041666667</v>
      </c>
      <c r="BK21" s="12">
        <f t="shared" si="2"/>
        <v>0.3333333333</v>
      </c>
      <c r="BL21" s="12">
        <f t="shared" si="3"/>
        <v>1.066666667</v>
      </c>
      <c r="BM21" s="13">
        <f t="shared" si="4"/>
        <v>0.625</v>
      </c>
      <c r="BN21" s="13">
        <f t="shared" si="5"/>
        <v>0.1875</v>
      </c>
      <c r="BO21" s="12">
        <f t="shared" si="6"/>
        <v>0.1875</v>
      </c>
      <c r="BP21" s="14">
        <f t="shared" si="7"/>
        <v>0.5</v>
      </c>
    </row>
    <row r="22">
      <c r="A22" s="7" t="s">
        <v>95</v>
      </c>
      <c r="B22" s="7" t="s">
        <v>96</v>
      </c>
      <c r="C22" s="8">
        <v>46186.0</v>
      </c>
      <c r="D22" s="7" t="s">
        <v>97</v>
      </c>
      <c r="E22" s="7" t="s">
        <v>98</v>
      </c>
      <c r="F22" s="7" t="s">
        <v>99</v>
      </c>
      <c r="G22" s="7">
        <v>77.0</v>
      </c>
      <c r="H22" s="7">
        <v>74.0</v>
      </c>
      <c r="I22" s="7">
        <v>7.0</v>
      </c>
      <c r="J22" s="7" t="s">
        <v>105</v>
      </c>
      <c r="K22" s="7" t="b">
        <v>0</v>
      </c>
      <c r="L22" s="2">
        <v>11.717</v>
      </c>
      <c r="M22" s="9">
        <v>0.48819444444444443</v>
      </c>
      <c r="N22" s="7">
        <v>11.717</v>
      </c>
      <c r="O22" s="15">
        <v>0.48819444444444443</v>
      </c>
      <c r="P22" s="7">
        <v>3.0</v>
      </c>
      <c r="Q22" s="7">
        <v>1.0</v>
      </c>
      <c r="R22" s="7">
        <v>1.0</v>
      </c>
      <c r="S22" s="7">
        <v>0.0</v>
      </c>
      <c r="T22" s="7">
        <v>0.0</v>
      </c>
      <c r="U22" s="7">
        <v>1.0</v>
      </c>
      <c r="V22" s="7">
        <v>1.0</v>
      </c>
      <c r="W22" s="7">
        <v>1.0</v>
      </c>
      <c r="X22" s="7">
        <v>1.0</v>
      </c>
      <c r="Y22" s="7">
        <v>1.0</v>
      </c>
      <c r="AA22" s="7">
        <v>1.0</v>
      </c>
      <c r="AB22" s="7">
        <v>1.0</v>
      </c>
      <c r="AC22" s="7">
        <v>1.0417</v>
      </c>
      <c r="AD22" s="7">
        <v>0.0</v>
      </c>
      <c r="AE22" s="7">
        <v>1.0</v>
      </c>
      <c r="AF22" s="7">
        <v>0.0</v>
      </c>
      <c r="AG22" s="7">
        <v>1.0</v>
      </c>
      <c r="AH22" s="7">
        <v>0.0</v>
      </c>
      <c r="AI22" s="7">
        <v>1.0</v>
      </c>
      <c r="AJ22" s="7">
        <v>2.0</v>
      </c>
      <c r="AK22" s="7">
        <v>1.0</v>
      </c>
      <c r="AL22" s="7">
        <v>1.0</v>
      </c>
      <c r="AM22" s="7">
        <v>0.091</v>
      </c>
      <c r="AN22" s="7">
        <v>0.0</v>
      </c>
      <c r="AO22" s="7">
        <v>0.0</v>
      </c>
      <c r="AP22" s="7">
        <v>0.143</v>
      </c>
      <c r="AQ22" s="7">
        <v>0.1034</v>
      </c>
      <c r="AR22" s="7">
        <v>0.86</v>
      </c>
      <c r="AS22" s="7">
        <v>0.86</v>
      </c>
      <c r="AU22" s="7">
        <v>249.917</v>
      </c>
      <c r="AV22" s="7">
        <v>61.0</v>
      </c>
      <c r="AW22" s="7">
        <v>31.0</v>
      </c>
      <c r="AX22" s="7">
        <v>26.0</v>
      </c>
      <c r="AY22" s="7">
        <v>9.22</v>
      </c>
      <c r="AZ22" s="7">
        <v>6.15</v>
      </c>
      <c r="BA22" s="7">
        <v>3.07</v>
      </c>
      <c r="BB22" s="7">
        <v>3.07</v>
      </c>
      <c r="BC22" s="7">
        <v>0.0</v>
      </c>
      <c r="BD22" s="7">
        <v>0.0</v>
      </c>
      <c r="BE22" s="7">
        <v>0.0</v>
      </c>
      <c r="BF22" s="7" t="s">
        <v>86</v>
      </c>
      <c r="BG22" s="10"/>
      <c r="BH22" s="12"/>
      <c r="BI22" s="12"/>
      <c r="BJ22" s="12">
        <f t="shared" si="1"/>
        <v>0.4098360656</v>
      </c>
      <c r="BK22" s="12">
        <f t="shared" si="2"/>
        <v>1</v>
      </c>
      <c r="BL22" s="12">
        <f t="shared" si="3"/>
        <v>3</v>
      </c>
      <c r="BM22" s="13">
        <f t="shared" si="4"/>
        <v>0.6666666667</v>
      </c>
      <c r="BN22" s="13">
        <f t="shared" si="5"/>
        <v>0</v>
      </c>
      <c r="BO22" s="12">
        <f t="shared" si="6"/>
        <v>0.3333333333</v>
      </c>
      <c r="BP22" s="14">
        <f t="shared" si="7"/>
        <v>1</v>
      </c>
    </row>
    <row r="23">
      <c r="A23" s="7" t="s">
        <v>95</v>
      </c>
      <c r="B23" s="7" t="s">
        <v>96</v>
      </c>
      <c r="C23" s="8">
        <v>46186.0</v>
      </c>
      <c r="D23" s="7" t="s">
        <v>97</v>
      </c>
      <c r="E23" s="7" t="s">
        <v>98</v>
      </c>
      <c r="F23" s="7" t="s">
        <v>99</v>
      </c>
      <c r="G23" s="7">
        <v>77.0</v>
      </c>
      <c r="H23" s="7">
        <v>74.0</v>
      </c>
      <c r="I23" s="7">
        <v>8.0</v>
      </c>
      <c r="J23" s="7" t="s">
        <v>106</v>
      </c>
      <c r="K23" s="7" t="b">
        <v>1</v>
      </c>
      <c r="L23" s="2">
        <v>21.85</v>
      </c>
      <c r="M23" s="9">
        <v>0.9104166666666667</v>
      </c>
      <c r="N23" s="7">
        <v>21.85</v>
      </c>
      <c r="O23" s="15">
        <v>0.9104166666666667</v>
      </c>
      <c r="P23" s="7">
        <v>2.0</v>
      </c>
      <c r="Q23" s="7">
        <v>0.0</v>
      </c>
      <c r="R23" s="7">
        <v>1.0</v>
      </c>
      <c r="S23" s="7">
        <v>0.0</v>
      </c>
      <c r="T23" s="7">
        <v>3.0</v>
      </c>
      <c r="U23" s="7">
        <v>2.0</v>
      </c>
      <c r="V23" s="7">
        <v>4.0</v>
      </c>
      <c r="W23" s="7">
        <v>0.0</v>
      </c>
      <c r="X23" s="7">
        <v>4.0</v>
      </c>
      <c r="Y23" s="7">
        <v>0.0</v>
      </c>
      <c r="Z23" s="7">
        <v>0.0</v>
      </c>
      <c r="AA23" s="7">
        <v>0.5</v>
      </c>
      <c r="AB23" s="7">
        <v>0.0</v>
      </c>
      <c r="AC23" s="7">
        <v>0.1736</v>
      </c>
      <c r="AD23" s="7">
        <v>1.0</v>
      </c>
      <c r="AE23" s="7">
        <v>0.25</v>
      </c>
      <c r="AF23" s="7">
        <v>0.75</v>
      </c>
      <c r="AG23" s="7">
        <v>0.0</v>
      </c>
      <c r="AH23" s="7">
        <v>1.0</v>
      </c>
      <c r="AI23" s="7">
        <v>2.0</v>
      </c>
      <c r="AJ23" s="7">
        <v>4.0</v>
      </c>
      <c r="AK23" s="7">
        <v>1.0</v>
      </c>
      <c r="AL23" s="7">
        <v>3.0</v>
      </c>
      <c r="AM23" s="7">
        <v>0.093</v>
      </c>
      <c r="AN23" s="7">
        <v>0.0</v>
      </c>
      <c r="AO23" s="7">
        <v>0.0</v>
      </c>
      <c r="AP23" s="7">
        <v>0.192</v>
      </c>
      <c r="AQ23" s="7">
        <v>0.1764</v>
      </c>
      <c r="AR23" s="7">
        <v>1.0</v>
      </c>
      <c r="AS23" s="7">
        <v>0.79</v>
      </c>
      <c r="AU23" s="7">
        <v>249.917</v>
      </c>
      <c r="AV23" s="7">
        <v>61.0</v>
      </c>
      <c r="AW23" s="7">
        <v>31.0</v>
      </c>
      <c r="AX23" s="7">
        <v>26.0</v>
      </c>
      <c r="AY23" s="7">
        <v>3.3</v>
      </c>
      <c r="AZ23" s="7">
        <v>6.59</v>
      </c>
      <c r="BA23" s="7">
        <v>0.0</v>
      </c>
      <c r="BB23" s="7">
        <v>3.3</v>
      </c>
      <c r="BC23" s="7">
        <v>0.0</v>
      </c>
      <c r="BD23" s="7">
        <v>0.0</v>
      </c>
      <c r="BE23" s="7">
        <v>1.65</v>
      </c>
      <c r="BF23" s="7" t="s">
        <v>73</v>
      </c>
      <c r="BG23" s="10"/>
      <c r="BH23" s="12"/>
      <c r="BI23" s="12"/>
      <c r="BJ23" s="12">
        <f t="shared" si="1"/>
        <v>0.2577319588</v>
      </c>
      <c r="BK23" s="12">
        <f t="shared" si="2"/>
        <v>1</v>
      </c>
      <c r="BL23" s="12">
        <f t="shared" si="3"/>
        <v>0.5</v>
      </c>
      <c r="BM23" s="13">
        <f t="shared" si="4"/>
        <v>0</v>
      </c>
      <c r="BN23" s="13">
        <f t="shared" si="5"/>
        <v>0</v>
      </c>
      <c r="BO23" s="12">
        <f t="shared" si="6"/>
        <v>1</v>
      </c>
      <c r="BP23" s="14">
        <f t="shared" si="7"/>
        <v>0</v>
      </c>
    </row>
    <row r="24">
      <c r="A24" s="7" t="s">
        <v>95</v>
      </c>
      <c r="B24" s="7" t="s">
        <v>96</v>
      </c>
      <c r="C24" s="8">
        <v>46186.0</v>
      </c>
      <c r="D24" s="7" t="s">
        <v>97</v>
      </c>
      <c r="E24" s="7" t="s">
        <v>98</v>
      </c>
      <c r="F24" s="7" t="s">
        <v>99</v>
      </c>
      <c r="G24" s="7">
        <v>77.0</v>
      </c>
      <c r="H24" s="7">
        <v>74.0</v>
      </c>
      <c r="I24" s="7">
        <v>10.0</v>
      </c>
      <c r="J24" s="7" t="s">
        <v>107</v>
      </c>
      <c r="K24" s="7" t="b">
        <v>1</v>
      </c>
      <c r="L24" s="2">
        <v>24.15</v>
      </c>
      <c r="M24" s="9">
        <v>1.00625</v>
      </c>
      <c r="N24" s="7">
        <v>24.15</v>
      </c>
      <c r="O24" s="9">
        <v>1.00625</v>
      </c>
      <c r="P24" s="7">
        <v>14.0</v>
      </c>
      <c r="Q24" s="7">
        <v>4.0</v>
      </c>
      <c r="R24" s="7">
        <v>10.0</v>
      </c>
      <c r="S24" s="7">
        <v>0.0</v>
      </c>
      <c r="T24" s="7">
        <v>0.0</v>
      </c>
      <c r="U24" s="7">
        <v>6.0</v>
      </c>
      <c r="V24" s="7">
        <v>6.0</v>
      </c>
      <c r="W24" s="7">
        <v>4.0</v>
      </c>
      <c r="X24" s="7">
        <v>10.0</v>
      </c>
      <c r="Y24" s="7">
        <v>0.4</v>
      </c>
      <c r="AA24" s="7">
        <v>1.0</v>
      </c>
      <c r="AB24" s="7">
        <v>0.4</v>
      </c>
      <c r="AC24" s="7">
        <v>0.5538</v>
      </c>
      <c r="AD24" s="7">
        <v>3.0</v>
      </c>
      <c r="AE24" s="7">
        <v>1.0</v>
      </c>
      <c r="AF24" s="7">
        <v>0.0</v>
      </c>
      <c r="AG24" s="7">
        <v>0.0</v>
      </c>
      <c r="AH24" s="7">
        <v>3.0</v>
      </c>
      <c r="AI24" s="7">
        <v>2.0</v>
      </c>
      <c r="AJ24" s="7">
        <v>8.0</v>
      </c>
      <c r="AK24" s="7">
        <v>6.0</v>
      </c>
      <c r="AL24" s="7">
        <v>2.0</v>
      </c>
      <c r="AM24" s="7">
        <v>0.222</v>
      </c>
      <c r="AN24" s="7">
        <v>0.0</v>
      </c>
      <c r="AO24" s="7">
        <v>2.0</v>
      </c>
      <c r="AP24" s="7">
        <v>0.333</v>
      </c>
      <c r="AQ24" s="7">
        <v>0.3011</v>
      </c>
      <c r="AR24" s="7">
        <v>1.0</v>
      </c>
      <c r="AS24" s="7">
        <v>1.14</v>
      </c>
      <c r="AU24" s="7">
        <v>249.917</v>
      </c>
      <c r="AV24" s="7">
        <v>61.0</v>
      </c>
      <c r="AW24" s="7">
        <v>31.0</v>
      </c>
      <c r="AX24" s="7">
        <v>26.0</v>
      </c>
      <c r="AY24" s="7">
        <v>20.87</v>
      </c>
      <c r="AZ24" s="7">
        <v>11.93</v>
      </c>
      <c r="BA24" s="7">
        <v>0.0</v>
      </c>
      <c r="BB24" s="7">
        <v>2.98</v>
      </c>
      <c r="BC24" s="7">
        <v>2.98</v>
      </c>
      <c r="BD24" s="7">
        <v>0.0</v>
      </c>
      <c r="BE24" s="7">
        <v>4.47</v>
      </c>
      <c r="BF24" s="7" t="s">
        <v>86</v>
      </c>
      <c r="BG24" s="10"/>
      <c r="BH24" s="12"/>
      <c r="BI24" s="12"/>
      <c r="BJ24" s="12">
        <f t="shared" si="1"/>
        <v>0.1366120219</v>
      </c>
      <c r="BK24" s="12">
        <f t="shared" si="2"/>
        <v>0.6</v>
      </c>
      <c r="BL24" s="12">
        <f t="shared" si="3"/>
        <v>1.4</v>
      </c>
      <c r="BM24" s="13">
        <f t="shared" si="4"/>
        <v>0.5714285714</v>
      </c>
      <c r="BN24" s="13">
        <f t="shared" si="5"/>
        <v>0</v>
      </c>
      <c r="BO24" s="12">
        <f t="shared" si="6"/>
        <v>0.4285714286</v>
      </c>
      <c r="BP24" s="14">
        <f t="shared" si="7"/>
        <v>0</v>
      </c>
    </row>
    <row r="25">
      <c r="A25" s="7" t="s">
        <v>95</v>
      </c>
      <c r="B25" s="7" t="s">
        <v>96</v>
      </c>
      <c r="C25" s="8">
        <v>46186.0</v>
      </c>
      <c r="D25" s="7" t="s">
        <v>97</v>
      </c>
      <c r="E25" s="7" t="s">
        <v>98</v>
      </c>
      <c r="F25" s="7" t="s">
        <v>99</v>
      </c>
      <c r="G25" s="7">
        <v>77.0</v>
      </c>
      <c r="H25" s="7">
        <v>74.0</v>
      </c>
      <c r="I25" s="7">
        <v>11.0</v>
      </c>
      <c r="J25" s="7" t="s">
        <v>108</v>
      </c>
      <c r="K25" s="7" t="b">
        <v>0</v>
      </c>
      <c r="L25" s="2">
        <v>27.15</v>
      </c>
      <c r="M25" s="9">
        <v>1.13125</v>
      </c>
      <c r="N25" s="7">
        <v>27.15</v>
      </c>
      <c r="O25" s="9">
        <v>1.13125</v>
      </c>
      <c r="P25" s="7">
        <v>6.0</v>
      </c>
      <c r="Q25" s="7">
        <v>2.0</v>
      </c>
      <c r="R25" s="7">
        <v>3.0</v>
      </c>
      <c r="S25" s="7">
        <v>0.0</v>
      </c>
      <c r="T25" s="7">
        <v>3.0</v>
      </c>
      <c r="U25" s="7">
        <v>2.0</v>
      </c>
      <c r="V25" s="7">
        <v>2.0</v>
      </c>
      <c r="W25" s="7">
        <v>2.0</v>
      </c>
      <c r="X25" s="7">
        <v>6.0</v>
      </c>
      <c r="Y25" s="7">
        <v>0.6667</v>
      </c>
      <c r="Z25" s="7">
        <v>0.0</v>
      </c>
      <c r="AA25" s="7">
        <v>1.0</v>
      </c>
      <c r="AB25" s="7">
        <v>0.3333</v>
      </c>
      <c r="AC25" s="7">
        <v>0.436</v>
      </c>
      <c r="AD25" s="7">
        <v>1.0</v>
      </c>
      <c r="AE25" s="7">
        <v>0.5</v>
      </c>
      <c r="AF25" s="7">
        <v>0.5</v>
      </c>
      <c r="AG25" s="7">
        <v>1.0</v>
      </c>
      <c r="AH25" s="7">
        <v>4.0</v>
      </c>
      <c r="AI25" s="7">
        <v>2.0</v>
      </c>
      <c r="AJ25" s="7">
        <v>8.0</v>
      </c>
      <c r="AK25" s="7">
        <v>0.0</v>
      </c>
      <c r="AL25" s="7">
        <v>8.0</v>
      </c>
      <c r="AM25" s="7">
        <v>0.2</v>
      </c>
      <c r="AN25" s="7">
        <v>0.0</v>
      </c>
      <c r="AO25" s="7">
        <v>1.0</v>
      </c>
      <c r="AP25" s="7">
        <v>0.208</v>
      </c>
      <c r="AQ25" s="7">
        <v>0.1624</v>
      </c>
      <c r="AR25" s="7">
        <v>0.79</v>
      </c>
      <c r="AS25" s="7">
        <v>0.88</v>
      </c>
      <c r="AU25" s="7">
        <v>249.917</v>
      </c>
      <c r="AV25" s="7">
        <v>61.0</v>
      </c>
      <c r="AW25" s="7">
        <v>31.0</v>
      </c>
      <c r="AX25" s="7">
        <v>26.0</v>
      </c>
      <c r="AY25" s="7">
        <v>7.96</v>
      </c>
      <c r="AZ25" s="7">
        <v>10.61</v>
      </c>
      <c r="BA25" s="7">
        <v>1.33</v>
      </c>
      <c r="BB25" s="7">
        <v>2.65</v>
      </c>
      <c r="BC25" s="7">
        <v>1.33</v>
      </c>
      <c r="BD25" s="7">
        <v>0.0</v>
      </c>
      <c r="BE25" s="7">
        <v>5.3</v>
      </c>
      <c r="BF25" s="7" t="s">
        <v>86</v>
      </c>
      <c r="BG25" s="10"/>
      <c r="BH25" s="12"/>
      <c r="BI25" s="12"/>
      <c r="BJ25" s="12">
        <f t="shared" si="1"/>
        <v>0.2252252252</v>
      </c>
      <c r="BK25" s="12">
        <f t="shared" si="2"/>
        <v>0.3333333333</v>
      </c>
      <c r="BL25" s="12">
        <f t="shared" si="3"/>
        <v>1</v>
      </c>
      <c r="BM25" s="13">
        <f t="shared" si="4"/>
        <v>0.6666666667</v>
      </c>
      <c r="BN25" s="13">
        <f t="shared" si="5"/>
        <v>0</v>
      </c>
      <c r="BO25" s="12">
        <f t="shared" si="6"/>
        <v>0.3333333333</v>
      </c>
      <c r="BP25" s="14">
        <f t="shared" si="7"/>
        <v>0.5</v>
      </c>
    </row>
    <row r="26">
      <c r="A26" s="7" t="s">
        <v>95</v>
      </c>
      <c r="B26" s="7" t="s">
        <v>96</v>
      </c>
      <c r="C26" s="8">
        <v>46186.0</v>
      </c>
      <c r="D26" s="7" t="s">
        <v>97</v>
      </c>
      <c r="E26" s="7" t="s">
        <v>98</v>
      </c>
      <c r="F26" s="7" t="s">
        <v>99</v>
      </c>
      <c r="G26" s="7">
        <v>77.0</v>
      </c>
      <c r="H26" s="7">
        <v>74.0</v>
      </c>
      <c r="I26" s="7">
        <v>12.0</v>
      </c>
      <c r="J26" s="7" t="s">
        <v>109</v>
      </c>
      <c r="K26" s="7" t="b">
        <v>0</v>
      </c>
      <c r="L26" s="2">
        <v>16.483</v>
      </c>
      <c r="M26" s="9">
        <v>0.6868055555555556</v>
      </c>
      <c r="N26" s="7">
        <v>16.483</v>
      </c>
      <c r="O26" s="15">
        <v>0.6868055555555556</v>
      </c>
      <c r="P26" s="7">
        <v>4.0</v>
      </c>
      <c r="Q26" s="7">
        <v>2.0</v>
      </c>
      <c r="R26" s="7">
        <v>5.0</v>
      </c>
      <c r="S26" s="7">
        <v>0.0</v>
      </c>
      <c r="T26" s="7">
        <v>0.0</v>
      </c>
      <c r="U26" s="7">
        <v>0.0</v>
      </c>
      <c r="V26" s="7">
        <v>0.0</v>
      </c>
      <c r="W26" s="7">
        <v>2.0</v>
      </c>
      <c r="X26" s="7">
        <v>5.0</v>
      </c>
      <c r="Y26" s="7">
        <v>0.4</v>
      </c>
      <c r="AB26" s="7">
        <v>0.4</v>
      </c>
      <c r="AC26" s="7">
        <v>0.4</v>
      </c>
      <c r="AD26" s="7">
        <v>0.0</v>
      </c>
      <c r="AE26" s="7">
        <v>1.0</v>
      </c>
      <c r="AF26" s="7">
        <v>0.0</v>
      </c>
      <c r="AG26" s="7">
        <v>0.0</v>
      </c>
      <c r="AH26" s="7">
        <v>3.0</v>
      </c>
      <c r="AI26" s="7">
        <v>2.0</v>
      </c>
      <c r="AJ26" s="7">
        <v>6.0</v>
      </c>
      <c r="AK26" s="7">
        <v>2.0</v>
      </c>
      <c r="AL26" s="7">
        <v>4.0</v>
      </c>
      <c r="AM26" s="7">
        <v>0.214</v>
      </c>
      <c r="AN26" s="7">
        <v>0.0</v>
      </c>
      <c r="AO26" s="7">
        <v>0.0</v>
      </c>
      <c r="AP26" s="7">
        <v>0.206</v>
      </c>
      <c r="AQ26" s="7">
        <v>0.2109</v>
      </c>
      <c r="AR26" s="7">
        <v>0.62</v>
      </c>
      <c r="AS26" s="7">
        <v>0.93</v>
      </c>
      <c r="AU26" s="7">
        <v>249.917</v>
      </c>
      <c r="AV26" s="7">
        <v>61.0</v>
      </c>
      <c r="AW26" s="7">
        <v>31.0</v>
      </c>
      <c r="AX26" s="7">
        <v>26.0</v>
      </c>
      <c r="AY26" s="7">
        <v>8.74</v>
      </c>
      <c r="AZ26" s="7">
        <v>13.1</v>
      </c>
      <c r="BA26" s="7">
        <v>0.0</v>
      </c>
      <c r="BB26" s="7">
        <v>4.37</v>
      </c>
      <c r="BC26" s="7">
        <v>0.0</v>
      </c>
      <c r="BD26" s="7">
        <v>0.0</v>
      </c>
      <c r="BE26" s="7">
        <v>6.55</v>
      </c>
      <c r="BF26" s="7" t="s">
        <v>79</v>
      </c>
      <c r="BG26" s="10"/>
      <c r="BH26" s="12"/>
      <c r="BI26" s="12"/>
      <c r="BJ26" s="12">
        <f t="shared" si="1"/>
        <v>0.2857142857</v>
      </c>
      <c r="BK26" s="12">
        <f t="shared" si="2"/>
        <v>0</v>
      </c>
      <c r="BL26" s="12">
        <f t="shared" si="3"/>
        <v>0.8</v>
      </c>
      <c r="BM26" s="13">
        <f t="shared" si="4"/>
        <v>1</v>
      </c>
      <c r="BN26" s="13">
        <f t="shared" si="5"/>
        <v>0</v>
      </c>
      <c r="BO26" s="12">
        <f t="shared" si="6"/>
        <v>0</v>
      </c>
      <c r="BP26" s="14">
        <f t="shared" si="7"/>
        <v>0</v>
      </c>
    </row>
    <row r="27">
      <c r="A27" s="7" t="s">
        <v>95</v>
      </c>
      <c r="B27" s="7" t="s">
        <v>96</v>
      </c>
      <c r="C27" s="8">
        <v>46186.0</v>
      </c>
      <c r="D27" s="7" t="s">
        <v>97</v>
      </c>
      <c r="E27" s="7" t="s">
        <v>98</v>
      </c>
      <c r="F27" s="7" t="s">
        <v>99</v>
      </c>
      <c r="G27" s="7">
        <v>77.0</v>
      </c>
      <c r="H27" s="7">
        <v>74.0</v>
      </c>
      <c r="I27" s="7">
        <v>13.0</v>
      </c>
      <c r="J27" s="7" t="s">
        <v>110</v>
      </c>
      <c r="K27" s="7" t="b">
        <v>1</v>
      </c>
      <c r="L27" s="2">
        <v>34.467</v>
      </c>
      <c r="M27" s="9">
        <v>1.4361111111111111</v>
      </c>
      <c r="N27" s="7">
        <v>34.467</v>
      </c>
      <c r="O27" s="9">
        <v>1.4361111111111111</v>
      </c>
      <c r="P27" s="7">
        <v>7.0</v>
      </c>
      <c r="Q27" s="7">
        <v>1.0</v>
      </c>
      <c r="R27" s="7">
        <v>5.0</v>
      </c>
      <c r="S27" s="7">
        <v>0.0</v>
      </c>
      <c r="T27" s="7">
        <v>2.0</v>
      </c>
      <c r="U27" s="7">
        <v>5.0</v>
      </c>
      <c r="V27" s="7">
        <v>5.0</v>
      </c>
      <c r="W27" s="7">
        <v>1.0</v>
      </c>
      <c r="X27" s="7">
        <v>7.0</v>
      </c>
      <c r="Y27" s="7">
        <v>0.2</v>
      </c>
      <c r="Z27" s="7">
        <v>0.0</v>
      </c>
      <c r="AA27" s="7">
        <v>1.0</v>
      </c>
      <c r="AB27" s="7">
        <v>0.1429</v>
      </c>
      <c r="AC27" s="7">
        <v>0.3804</v>
      </c>
      <c r="AD27" s="7">
        <v>2.0</v>
      </c>
      <c r="AE27" s="7">
        <v>0.714</v>
      </c>
      <c r="AF27" s="7">
        <v>0.286</v>
      </c>
      <c r="AG27" s="7">
        <v>2.0</v>
      </c>
      <c r="AH27" s="7">
        <v>4.0</v>
      </c>
      <c r="AI27" s="7">
        <v>4.0</v>
      </c>
      <c r="AJ27" s="7">
        <v>10.0</v>
      </c>
      <c r="AK27" s="7">
        <v>2.0</v>
      </c>
      <c r="AL27" s="7">
        <v>8.0</v>
      </c>
      <c r="AM27" s="7">
        <v>0.159</v>
      </c>
      <c r="AN27" s="7">
        <v>0.0</v>
      </c>
      <c r="AO27" s="7">
        <v>4.0</v>
      </c>
      <c r="AP27" s="7">
        <v>0.224</v>
      </c>
      <c r="AQ27" s="7">
        <v>0.1902</v>
      </c>
      <c r="AR27" s="7">
        <v>0.98</v>
      </c>
      <c r="AS27" s="7">
        <v>0.83</v>
      </c>
      <c r="AU27" s="7">
        <v>249.917</v>
      </c>
      <c r="AV27" s="7">
        <v>61.0</v>
      </c>
      <c r="AW27" s="7">
        <v>31.0</v>
      </c>
      <c r="AX27" s="7">
        <v>26.0</v>
      </c>
      <c r="AY27" s="7">
        <v>7.31</v>
      </c>
      <c r="AZ27" s="7">
        <v>10.44</v>
      </c>
      <c r="BA27" s="7">
        <v>2.09</v>
      </c>
      <c r="BB27" s="7">
        <v>4.18</v>
      </c>
      <c r="BC27" s="7">
        <v>4.18</v>
      </c>
      <c r="BD27" s="7">
        <v>0.0</v>
      </c>
      <c r="BE27" s="7">
        <v>4.18</v>
      </c>
      <c r="BF27" s="7" t="s">
        <v>86</v>
      </c>
      <c r="BG27" s="10"/>
      <c r="BH27" s="12"/>
      <c r="BI27" s="12"/>
      <c r="BJ27" s="12">
        <f t="shared" si="1"/>
        <v>0.303030303</v>
      </c>
      <c r="BK27" s="12">
        <f t="shared" si="2"/>
        <v>0.7142857143</v>
      </c>
      <c r="BL27" s="12">
        <f t="shared" si="3"/>
        <v>1</v>
      </c>
      <c r="BM27" s="13">
        <f t="shared" si="4"/>
        <v>0.2857142857</v>
      </c>
      <c r="BN27" s="13">
        <f t="shared" si="5"/>
        <v>0</v>
      </c>
      <c r="BO27" s="12">
        <f t="shared" si="6"/>
        <v>0.7142857143</v>
      </c>
      <c r="BP27" s="14">
        <f t="shared" si="7"/>
        <v>0.5</v>
      </c>
    </row>
    <row r="28">
      <c r="A28" s="7" t="s">
        <v>95</v>
      </c>
      <c r="B28" s="7" t="s">
        <v>96</v>
      </c>
      <c r="C28" s="8">
        <v>46186.0</v>
      </c>
      <c r="D28" s="7" t="s">
        <v>97</v>
      </c>
      <c r="E28" s="7" t="s">
        <v>98</v>
      </c>
      <c r="F28" s="7" t="s">
        <v>99</v>
      </c>
      <c r="G28" s="7">
        <v>77.0</v>
      </c>
      <c r="H28" s="7">
        <v>74.0</v>
      </c>
      <c r="I28" s="7">
        <v>24.0</v>
      </c>
      <c r="J28" s="7" t="s">
        <v>111</v>
      </c>
      <c r="K28" s="7" t="b">
        <v>0</v>
      </c>
      <c r="L28" s="2">
        <v>12.167</v>
      </c>
      <c r="M28" s="9">
        <v>0.5069444444444444</v>
      </c>
      <c r="N28" s="7">
        <v>12.167</v>
      </c>
      <c r="O28" s="15">
        <v>0.5069444444444444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2.0</v>
      </c>
      <c r="W28" s="7">
        <v>0.0</v>
      </c>
      <c r="X28" s="7">
        <v>0.0</v>
      </c>
      <c r="AA28" s="7">
        <v>0.0</v>
      </c>
      <c r="AC28" s="7">
        <v>0.0</v>
      </c>
      <c r="AD28" s="7">
        <v>1.0</v>
      </c>
      <c r="AG28" s="7">
        <v>2.0</v>
      </c>
      <c r="AH28" s="7">
        <v>1.0</v>
      </c>
      <c r="AI28" s="7">
        <v>2.0</v>
      </c>
      <c r="AJ28" s="7">
        <v>3.0</v>
      </c>
      <c r="AK28" s="7">
        <v>0.0</v>
      </c>
      <c r="AL28" s="7">
        <v>3.0</v>
      </c>
      <c r="AM28" s="7">
        <v>0.125</v>
      </c>
      <c r="AN28" s="7">
        <v>0.0</v>
      </c>
      <c r="AO28" s="7">
        <v>0.0</v>
      </c>
      <c r="AP28" s="7">
        <v>0.16</v>
      </c>
      <c r="AQ28" s="7">
        <v>0.1176</v>
      </c>
      <c r="AR28" s="7">
        <v>0.7</v>
      </c>
      <c r="AS28" s="7">
        <v>0.55</v>
      </c>
      <c r="AU28" s="7">
        <v>249.917</v>
      </c>
      <c r="AV28" s="7">
        <v>61.0</v>
      </c>
      <c r="AW28" s="7">
        <v>31.0</v>
      </c>
      <c r="AX28" s="7">
        <v>26.0</v>
      </c>
      <c r="AY28" s="7">
        <v>0.0</v>
      </c>
      <c r="AZ28" s="7">
        <v>8.88</v>
      </c>
      <c r="BA28" s="7">
        <v>5.92</v>
      </c>
      <c r="BB28" s="7">
        <v>5.92</v>
      </c>
      <c r="BC28" s="7">
        <v>0.0</v>
      </c>
      <c r="BD28" s="7">
        <v>0.0</v>
      </c>
      <c r="BE28" s="7">
        <v>2.96</v>
      </c>
      <c r="BG28" s="10"/>
      <c r="BH28" s="12"/>
      <c r="BI28" s="12"/>
      <c r="BJ28" s="12">
        <f t="shared" si="1"/>
        <v>0.6944444444</v>
      </c>
      <c r="BK28" s="12" t="str">
        <f t="shared" si="2"/>
        <v/>
      </c>
      <c r="BL28" s="12" t="str">
        <f t="shared" si="3"/>
        <v/>
      </c>
      <c r="BM28" s="13" t="str">
        <f t="shared" si="4"/>
        <v/>
      </c>
      <c r="BN28" s="13" t="str">
        <f t="shared" si="5"/>
        <v/>
      </c>
      <c r="BO28" s="12" t="str">
        <f t="shared" si="6"/>
        <v/>
      </c>
      <c r="BP28" s="14">
        <f t="shared" si="7"/>
        <v>1</v>
      </c>
    </row>
    <row r="29">
      <c r="A29" s="7" t="s">
        <v>95</v>
      </c>
      <c r="B29" s="7" t="s">
        <v>96</v>
      </c>
      <c r="C29" s="8">
        <v>46186.0</v>
      </c>
      <c r="D29" s="7" t="s">
        <v>97</v>
      </c>
      <c r="E29" s="7" t="s">
        <v>98</v>
      </c>
      <c r="F29" s="7" t="s">
        <v>99</v>
      </c>
      <c r="G29" s="7">
        <v>77.0</v>
      </c>
      <c r="H29" s="7">
        <v>74.0</v>
      </c>
      <c r="I29" s="7">
        <v>32.0</v>
      </c>
      <c r="J29" s="7" t="s">
        <v>112</v>
      </c>
      <c r="K29" s="7" t="b">
        <v>1</v>
      </c>
      <c r="L29" s="2">
        <v>33.633</v>
      </c>
      <c r="M29" s="9">
        <v>1.4013888888888888</v>
      </c>
      <c r="N29" s="7">
        <v>33.633</v>
      </c>
      <c r="O29" s="9">
        <v>1.4013888888888888</v>
      </c>
      <c r="P29" s="7">
        <v>10.0</v>
      </c>
      <c r="Q29" s="7">
        <v>4.0</v>
      </c>
      <c r="R29" s="7">
        <v>6.0</v>
      </c>
      <c r="S29" s="7">
        <v>0.0</v>
      </c>
      <c r="T29" s="7">
        <v>0.0</v>
      </c>
      <c r="U29" s="7">
        <v>2.0</v>
      </c>
      <c r="V29" s="7">
        <v>2.0</v>
      </c>
      <c r="W29" s="7">
        <v>4.0</v>
      </c>
      <c r="X29" s="7">
        <v>6.0</v>
      </c>
      <c r="Y29" s="7">
        <v>0.6667</v>
      </c>
      <c r="AA29" s="7">
        <v>1.0</v>
      </c>
      <c r="AB29" s="7">
        <v>0.6667</v>
      </c>
      <c r="AC29" s="7">
        <v>0.7267</v>
      </c>
      <c r="AD29" s="7">
        <v>1.0</v>
      </c>
      <c r="AE29" s="7">
        <v>1.0</v>
      </c>
      <c r="AF29" s="7">
        <v>0.0</v>
      </c>
      <c r="AG29" s="7">
        <v>3.0</v>
      </c>
      <c r="AH29" s="7">
        <v>1.0</v>
      </c>
      <c r="AI29" s="7">
        <v>2.0</v>
      </c>
      <c r="AJ29" s="7">
        <v>7.0</v>
      </c>
      <c r="AK29" s="7">
        <v>2.0</v>
      </c>
      <c r="AL29" s="7">
        <v>5.0</v>
      </c>
      <c r="AM29" s="7">
        <v>0.127</v>
      </c>
      <c r="AN29" s="7">
        <v>0.0</v>
      </c>
      <c r="AO29" s="7">
        <v>0.0</v>
      </c>
      <c r="AP29" s="7">
        <v>0.139</v>
      </c>
      <c r="AQ29" s="7">
        <v>0.1311</v>
      </c>
      <c r="AR29" s="7">
        <v>0.98</v>
      </c>
      <c r="AS29" s="7">
        <v>0.84</v>
      </c>
      <c r="AU29" s="7">
        <v>249.917</v>
      </c>
      <c r="AV29" s="7">
        <v>61.0</v>
      </c>
      <c r="AW29" s="7">
        <v>31.0</v>
      </c>
      <c r="AX29" s="7">
        <v>26.0</v>
      </c>
      <c r="AY29" s="7">
        <v>10.7</v>
      </c>
      <c r="AZ29" s="7">
        <v>7.49</v>
      </c>
      <c r="BA29" s="7">
        <v>3.21</v>
      </c>
      <c r="BB29" s="7">
        <v>2.14</v>
      </c>
      <c r="BC29" s="7">
        <v>0.0</v>
      </c>
      <c r="BD29" s="7">
        <v>0.0</v>
      </c>
      <c r="BE29" s="7">
        <v>1.07</v>
      </c>
      <c r="BF29" s="7" t="s">
        <v>86</v>
      </c>
      <c r="BG29" s="10"/>
      <c r="BH29" s="12"/>
      <c r="BI29" s="12"/>
      <c r="BJ29" s="12">
        <f t="shared" si="1"/>
        <v>0.2252252252</v>
      </c>
      <c r="BK29" s="12">
        <f t="shared" si="2"/>
        <v>0.3333333333</v>
      </c>
      <c r="BL29" s="12">
        <f t="shared" si="3"/>
        <v>1.666666667</v>
      </c>
      <c r="BM29" s="13">
        <f t="shared" si="4"/>
        <v>0.8</v>
      </c>
      <c r="BN29" s="13">
        <f t="shared" si="5"/>
        <v>0</v>
      </c>
      <c r="BO29" s="12">
        <f t="shared" si="6"/>
        <v>0.2</v>
      </c>
      <c r="BP29" s="14">
        <f t="shared" si="7"/>
        <v>1.5</v>
      </c>
    </row>
    <row r="30">
      <c r="A30" s="7" t="s">
        <v>95</v>
      </c>
      <c r="B30" s="7" t="s">
        <v>96</v>
      </c>
      <c r="C30" s="8">
        <v>46186.0</v>
      </c>
      <c r="D30" s="7" t="s">
        <v>97</v>
      </c>
      <c r="E30" s="7" t="s">
        <v>99</v>
      </c>
      <c r="F30" s="7" t="s">
        <v>98</v>
      </c>
      <c r="G30" s="7">
        <v>74.0</v>
      </c>
      <c r="H30" s="7">
        <v>77.0</v>
      </c>
      <c r="I30" s="7">
        <v>0.0</v>
      </c>
      <c r="J30" s="7" t="s">
        <v>113</v>
      </c>
      <c r="K30" s="7" t="b">
        <v>0</v>
      </c>
      <c r="L30" s="2">
        <v>19.35</v>
      </c>
      <c r="M30" s="9">
        <v>0.80625</v>
      </c>
      <c r="N30" s="7">
        <v>19.35</v>
      </c>
      <c r="O30" s="15">
        <v>0.80625</v>
      </c>
      <c r="P30" s="7">
        <v>1.0</v>
      </c>
      <c r="Q30" s="7">
        <v>0.0</v>
      </c>
      <c r="R30" s="7">
        <v>1.0</v>
      </c>
      <c r="S30" s="7">
        <v>0.0</v>
      </c>
      <c r="T30" s="7">
        <v>2.0</v>
      </c>
      <c r="U30" s="7">
        <v>1.0</v>
      </c>
      <c r="V30" s="7">
        <v>3.0</v>
      </c>
      <c r="W30" s="7">
        <v>0.0</v>
      </c>
      <c r="X30" s="7">
        <v>3.0</v>
      </c>
      <c r="Y30" s="7">
        <v>0.0</v>
      </c>
      <c r="Z30" s="7">
        <v>0.0</v>
      </c>
      <c r="AA30" s="7">
        <v>0.3333</v>
      </c>
      <c r="AB30" s="7">
        <v>0.0</v>
      </c>
      <c r="AC30" s="7">
        <v>0.1157</v>
      </c>
      <c r="AD30" s="7">
        <v>0.0</v>
      </c>
      <c r="AE30" s="7">
        <v>0.333</v>
      </c>
      <c r="AF30" s="7">
        <v>0.667</v>
      </c>
      <c r="AG30" s="7">
        <v>0.0</v>
      </c>
      <c r="AH30" s="7">
        <v>2.0</v>
      </c>
      <c r="AI30" s="7">
        <v>4.0</v>
      </c>
      <c r="AJ30" s="7">
        <v>1.0</v>
      </c>
      <c r="AK30" s="7">
        <v>0.0</v>
      </c>
      <c r="AL30" s="7">
        <v>1.0</v>
      </c>
      <c r="AM30" s="7">
        <v>0.027</v>
      </c>
      <c r="AN30" s="7">
        <v>0.0</v>
      </c>
      <c r="AO30" s="7">
        <v>0.0</v>
      </c>
      <c r="AP30" s="7">
        <v>0.231</v>
      </c>
      <c r="AQ30" s="7">
        <v>0.2219</v>
      </c>
      <c r="AR30" s="7">
        <v>0.58</v>
      </c>
      <c r="AS30" s="7">
        <v>0.91</v>
      </c>
      <c r="AU30" s="7">
        <v>249.933</v>
      </c>
      <c r="AV30" s="7">
        <v>66.0</v>
      </c>
      <c r="AW30" s="7">
        <v>27.0</v>
      </c>
      <c r="AX30" s="7">
        <v>19.0</v>
      </c>
      <c r="AY30" s="7">
        <v>1.86</v>
      </c>
      <c r="AZ30" s="7">
        <v>1.86</v>
      </c>
      <c r="BA30" s="7">
        <v>0.0</v>
      </c>
      <c r="BB30" s="7">
        <v>7.44</v>
      </c>
      <c r="BC30" s="7">
        <v>0.0</v>
      </c>
      <c r="BD30" s="7">
        <v>0.0</v>
      </c>
      <c r="BE30" s="7">
        <v>3.72</v>
      </c>
      <c r="BF30" s="7" t="s">
        <v>73</v>
      </c>
      <c r="BG30" s="10"/>
      <c r="BH30" s="12"/>
      <c r="BI30" s="12"/>
      <c r="BJ30" s="12">
        <f t="shared" si="1"/>
        <v>0.4807692308</v>
      </c>
      <c r="BK30" s="12">
        <f t="shared" si="2"/>
        <v>1</v>
      </c>
      <c r="BL30" s="12">
        <f t="shared" si="3"/>
        <v>0.3333333333</v>
      </c>
      <c r="BM30" s="13">
        <f t="shared" si="4"/>
        <v>0</v>
      </c>
      <c r="BN30" s="13">
        <f t="shared" si="5"/>
        <v>0</v>
      </c>
      <c r="BO30" s="12">
        <f t="shared" si="6"/>
        <v>1</v>
      </c>
      <c r="BP30" s="14">
        <f t="shared" si="7"/>
        <v>0</v>
      </c>
    </row>
    <row r="31">
      <c r="A31" s="7" t="s">
        <v>95</v>
      </c>
      <c r="B31" s="7" t="s">
        <v>96</v>
      </c>
      <c r="C31" s="8">
        <v>46186.0</v>
      </c>
      <c r="D31" s="7" t="s">
        <v>97</v>
      </c>
      <c r="E31" s="7" t="s">
        <v>99</v>
      </c>
      <c r="F31" s="7" t="s">
        <v>98</v>
      </c>
      <c r="G31" s="7">
        <v>74.0</v>
      </c>
      <c r="H31" s="7">
        <v>77.0</v>
      </c>
      <c r="I31" s="7">
        <v>1.0</v>
      </c>
      <c r="J31" s="7" t="s">
        <v>114</v>
      </c>
      <c r="K31" s="7" t="b">
        <v>1</v>
      </c>
      <c r="L31" s="2">
        <v>29.383</v>
      </c>
      <c r="M31" s="9">
        <v>1.2243055555555555</v>
      </c>
      <c r="N31" s="7">
        <v>29.383</v>
      </c>
      <c r="O31" s="9">
        <v>1.2243055555555555</v>
      </c>
      <c r="P31" s="7">
        <v>18.0</v>
      </c>
      <c r="Q31" s="7">
        <v>3.0</v>
      </c>
      <c r="R31" s="7">
        <v>7.0</v>
      </c>
      <c r="S31" s="7">
        <v>3.0</v>
      </c>
      <c r="T31" s="7">
        <v>4.0</v>
      </c>
      <c r="U31" s="7">
        <v>3.0</v>
      </c>
      <c r="V31" s="7">
        <v>3.0</v>
      </c>
      <c r="W31" s="7">
        <v>6.0</v>
      </c>
      <c r="X31" s="7">
        <v>11.0</v>
      </c>
      <c r="Y31" s="7">
        <v>0.4286</v>
      </c>
      <c r="Z31" s="7">
        <v>0.75</v>
      </c>
      <c r="AA31" s="7">
        <v>1.0</v>
      </c>
      <c r="AB31" s="7">
        <v>0.6818</v>
      </c>
      <c r="AC31" s="7">
        <v>0.7305</v>
      </c>
      <c r="AD31" s="7">
        <v>0.0</v>
      </c>
      <c r="AE31" s="7">
        <v>0.636</v>
      </c>
      <c r="AF31" s="7">
        <v>0.364</v>
      </c>
      <c r="AG31" s="7">
        <v>1.0</v>
      </c>
      <c r="AH31" s="7">
        <v>4.0</v>
      </c>
      <c r="AI31" s="7">
        <v>2.0</v>
      </c>
      <c r="AJ31" s="7">
        <v>2.0</v>
      </c>
      <c r="AK31" s="7">
        <v>1.0</v>
      </c>
      <c r="AL31" s="7">
        <v>1.0</v>
      </c>
      <c r="AM31" s="7">
        <v>0.048</v>
      </c>
      <c r="AN31" s="7">
        <v>0.0</v>
      </c>
      <c r="AO31" s="7">
        <v>2.0</v>
      </c>
      <c r="AP31" s="7">
        <v>0.322</v>
      </c>
      <c r="AQ31" s="7">
        <v>0.2515</v>
      </c>
      <c r="AR31" s="7">
        <v>1.08</v>
      </c>
      <c r="AS31" s="7">
        <v>0.9</v>
      </c>
      <c r="AU31" s="7">
        <v>249.933</v>
      </c>
      <c r="AV31" s="7">
        <v>66.0</v>
      </c>
      <c r="AW31" s="7">
        <v>27.0</v>
      </c>
      <c r="AX31" s="7">
        <v>19.0</v>
      </c>
      <c r="AY31" s="7">
        <v>22.05</v>
      </c>
      <c r="AZ31" s="7">
        <v>2.45</v>
      </c>
      <c r="BA31" s="7">
        <v>1.23</v>
      </c>
      <c r="BB31" s="7">
        <v>2.45</v>
      </c>
      <c r="BC31" s="7">
        <v>2.45</v>
      </c>
      <c r="BD31" s="7">
        <v>0.0</v>
      </c>
      <c r="BE31" s="7">
        <v>4.9</v>
      </c>
      <c r="BF31" s="7" t="s">
        <v>76</v>
      </c>
      <c r="BG31" s="10"/>
      <c r="BH31" s="12"/>
      <c r="BI31" s="12"/>
      <c r="BJ31" s="12">
        <f t="shared" si="1"/>
        <v>0.1396648045</v>
      </c>
      <c r="BK31" s="12">
        <f t="shared" si="2"/>
        <v>0.2727272727</v>
      </c>
      <c r="BL31" s="12">
        <f t="shared" si="3"/>
        <v>1.636363636</v>
      </c>
      <c r="BM31" s="13">
        <f t="shared" si="4"/>
        <v>0.3333333333</v>
      </c>
      <c r="BN31" s="13">
        <f t="shared" si="5"/>
        <v>0.5</v>
      </c>
      <c r="BO31" s="12">
        <f t="shared" si="6"/>
        <v>0.1666666667</v>
      </c>
      <c r="BP31" s="14">
        <f t="shared" si="7"/>
        <v>0.5</v>
      </c>
    </row>
    <row r="32">
      <c r="A32" s="7" t="s">
        <v>95</v>
      </c>
      <c r="B32" s="7" t="s">
        <v>96</v>
      </c>
      <c r="C32" s="8">
        <v>46186.0</v>
      </c>
      <c r="D32" s="7" t="s">
        <v>97</v>
      </c>
      <c r="E32" s="7" t="s">
        <v>99</v>
      </c>
      <c r="F32" s="7" t="s">
        <v>98</v>
      </c>
      <c r="G32" s="7">
        <v>74.0</v>
      </c>
      <c r="H32" s="7">
        <v>77.0</v>
      </c>
      <c r="I32" s="7">
        <v>2.0</v>
      </c>
      <c r="J32" s="7" t="s">
        <v>115</v>
      </c>
      <c r="K32" s="7" t="b">
        <v>1</v>
      </c>
      <c r="L32" s="2">
        <v>31.0</v>
      </c>
      <c r="M32" s="9">
        <v>1.2916666666666667</v>
      </c>
      <c r="N32" s="7">
        <v>31.0</v>
      </c>
      <c r="O32" s="9">
        <v>1.2916666666666667</v>
      </c>
      <c r="P32" s="7">
        <v>14.0</v>
      </c>
      <c r="Q32" s="7">
        <v>1.0</v>
      </c>
      <c r="R32" s="7">
        <v>3.0</v>
      </c>
      <c r="S32" s="7">
        <v>2.0</v>
      </c>
      <c r="T32" s="7">
        <v>5.0</v>
      </c>
      <c r="U32" s="7">
        <v>6.0</v>
      </c>
      <c r="V32" s="7">
        <v>9.0</v>
      </c>
      <c r="W32" s="7">
        <v>3.0</v>
      </c>
      <c r="X32" s="7">
        <v>8.0</v>
      </c>
      <c r="Y32" s="7">
        <v>0.3333</v>
      </c>
      <c r="Z32" s="7">
        <v>0.4</v>
      </c>
      <c r="AA32" s="7">
        <v>0.6667</v>
      </c>
      <c r="AB32" s="7">
        <v>0.5</v>
      </c>
      <c r="AC32" s="7">
        <v>0.5853</v>
      </c>
      <c r="AD32" s="7">
        <v>3.0</v>
      </c>
      <c r="AE32" s="7">
        <v>0.375</v>
      </c>
      <c r="AF32" s="7">
        <v>0.625</v>
      </c>
      <c r="AG32" s="7">
        <v>0.0</v>
      </c>
      <c r="AH32" s="7">
        <v>1.0</v>
      </c>
      <c r="AI32" s="7">
        <v>0.0</v>
      </c>
      <c r="AJ32" s="7">
        <v>6.0</v>
      </c>
      <c r="AK32" s="7">
        <v>2.0</v>
      </c>
      <c r="AL32" s="7">
        <v>4.0</v>
      </c>
      <c r="AM32" s="7">
        <v>0.109</v>
      </c>
      <c r="AN32" s="7">
        <v>0.0</v>
      </c>
      <c r="AO32" s="7">
        <v>1.0</v>
      </c>
      <c r="AP32" s="7">
        <v>0.273</v>
      </c>
      <c r="AQ32" s="7">
        <v>0.1991</v>
      </c>
      <c r="AR32" s="7">
        <v>0.72</v>
      </c>
      <c r="AS32" s="7">
        <v>1.0</v>
      </c>
      <c r="AU32" s="7">
        <v>249.933</v>
      </c>
      <c r="AV32" s="7">
        <v>66.0</v>
      </c>
      <c r="AW32" s="7">
        <v>27.0</v>
      </c>
      <c r="AX32" s="7">
        <v>19.0</v>
      </c>
      <c r="AY32" s="7">
        <v>16.26</v>
      </c>
      <c r="AZ32" s="7">
        <v>6.97</v>
      </c>
      <c r="BA32" s="7">
        <v>0.0</v>
      </c>
      <c r="BB32" s="7">
        <v>0.0</v>
      </c>
      <c r="BC32" s="7">
        <v>1.16</v>
      </c>
      <c r="BD32" s="7">
        <v>0.0</v>
      </c>
      <c r="BE32" s="7">
        <v>1.16</v>
      </c>
      <c r="BF32" s="7" t="s">
        <v>76</v>
      </c>
      <c r="BG32" s="10"/>
      <c r="BH32" s="12"/>
      <c r="BI32" s="12"/>
      <c r="BJ32" s="12">
        <f t="shared" si="1"/>
        <v>0</v>
      </c>
      <c r="BK32" s="12">
        <f t="shared" si="2"/>
        <v>1.125</v>
      </c>
      <c r="BL32" s="12">
        <f t="shared" si="3"/>
        <v>1.75</v>
      </c>
      <c r="BM32" s="13">
        <f t="shared" si="4"/>
        <v>0.1428571429</v>
      </c>
      <c r="BN32" s="13">
        <f t="shared" si="5"/>
        <v>0.4285714286</v>
      </c>
      <c r="BO32" s="12">
        <f t="shared" si="6"/>
        <v>0.4285714286</v>
      </c>
      <c r="BP32" s="14" t="str">
        <f t="shared" si="7"/>
        <v/>
      </c>
    </row>
    <row r="33">
      <c r="A33" s="7" t="s">
        <v>95</v>
      </c>
      <c r="B33" s="7" t="s">
        <v>96</v>
      </c>
      <c r="C33" s="8">
        <v>46186.0</v>
      </c>
      <c r="D33" s="7" t="s">
        <v>97</v>
      </c>
      <c r="E33" s="7" t="s">
        <v>99</v>
      </c>
      <c r="F33" s="7" t="s">
        <v>98</v>
      </c>
      <c r="G33" s="7">
        <v>74.0</v>
      </c>
      <c r="H33" s="7">
        <v>77.0</v>
      </c>
      <c r="I33" s="7">
        <v>3.0</v>
      </c>
      <c r="J33" s="7" t="s">
        <v>116</v>
      </c>
      <c r="K33" s="7" t="b">
        <v>1</v>
      </c>
      <c r="L33" s="2">
        <v>20.183</v>
      </c>
      <c r="M33" s="9">
        <v>0.8409722222222222</v>
      </c>
      <c r="N33" s="7">
        <v>20.183</v>
      </c>
      <c r="O33" s="15">
        <v>0.8409722222222222</v>
      </c>
      <c r="P33" s="7">
        <v>5.0</v>
      </c>
      <c r="Q33" s="7">
        <v>1.0</v>
      </c>
      <c r="R33" s="7">
        <v>1.0</v>
      </c>
      <c r="S33" s="7">
        <v>1.0</v>
      </c>
      <c r="T33" s="7">
        <v>1.0</v>
      </c>
      <c r="U33" s="7">
        <v>0.0</v>
      </c>
      <c r="V33" s="7">
        <v>0.0</v>
      </c>
      <c r="W33" s="7">
        <v>2.0</v>
      </c>
      <c r="X33" s="7">
        <v>2.0</v>
      </c>
      <c r="Y33" s="7">
        <v>1.0</v>
      </c>
      <c r="Z33" s="7">
        <v>1.0</v>
      </c>
      <c r="AB33" s="7">
        <v>1.25</v>
      </c>
      <c r="AC33" s="7">
        <v>1.25</v>
      </c>
      <c r="AD33" s="7">
        <v>0.0</v>
      </c>
      <c r="AE33" s="7">
        <v>0.5</v>
      </c>
      <c r="AF33" s="7">
        <v>0.5</v>
      </c>
      <c r="AG33" s="7">
        <v>0.0</v>
      </c>
      <c r="AH33" s="7">
        <v>2.0</v>
      </c>
      <c r="AI33" s="7">
        <v>1.0</v>
      </c>
      <c r="AJ33" s="7">
        <v>1.0</v>
      </c>
      <c r="AK33" s="7">
        <v>0.0</v>
      </c>
      <c r="AL33" s="7">
        <v>1.0</v>
      </c>
      <c r="AM33" s="7">
        <v>0.03</v>
      </c>
      <c r="AN33" s="7">
        <v>0.0</v>
      </c>
      <c r="AO33" s="7">
        <v>0.0</v>
      </c>
      <c r="AP33" s="7">
        <v>0.073</v>
      </c>
      <c r="AQ33" s="7">
        <v>0.0767</v>
      </c>
      <c r="AR33" s="7">
        <v>1.15</v>
      </c>
      <c r="AS33" s="7">
        <v>0.94</v>
      </c>
      <c r="AU33" s="7">
        <v>249.933</v>
      </c>
      <c r="AV33" s="7">
        <v>66.0</v>
      </c>
      <c r="AW33" s="7">
        <v>27.0</v>
      </c>
      <c r="AX33" s="7">
        <v>19.0</v>
      </c>
      <c r="AY33" s="7">
        <v>8.92</v>
      </c>
      <c r="AZ33" s="7">
        <v>1.78</v>
      </c>
      <c r="BA33" s="7">
        <v>0.0</v>
      </c>
      <c r="BB33" s="7">
        <v>1.78</v>
      </c>
      <c r="BC33" s="7">
        <v>0.0</v>
      </c>
      <c r="BD33" s="7">
        <v>0.0</v>
      </c>
      <c r="BE33" s="7">
        <v>3.57</v>
      </c>
      <c r="BF33" s="7" t="s">
        <v>84</v>
      </c>
      <c r="BG33" s="10"/>
      <c r="BH33" s="12"/>
      <c r="BI33" s="12"/>
      <c r="BJ33" s="12">
        <f t="shared" si="1"/>
        <v>0.3333333333</v>
      </c>
      <c r="BK33" s="12">
        <f t="shared" si="2"/>
        <v>0</v>
      </c>
      <c r="BL33" s="12">
        <f t="shared" si="3"/>
        <v>2.5</v>
      </c>
      <c r="BM33" s="13">
        <f t="shared" si="4"/>
        <v>0.4</v>
      </c>
      <c r="BN33" s="13">
        <f t="shared" si="5"/>
        <v>0.6</v>
      </c>
      <c r="BO33" s="12">
        <f t="shared" si="6"/>
        <v>0</v>
      </c>
      <c r="BP33" s="14">
        <f t="shared" si="7"/>
        <v>0</v>
      </c>
    </row>
    <row r="34">
      <c r="A34" s="7" t="s">
        <v>95</v>
      </c>
      <c r="B34" s="7" t="s">
        <v>96</v>
      </c>
      <c r="C34" s="8">
        <v>46186.0</v>
      </c>
      <c r="D34" s="7" t="s">
        <v>97</v>
      </c>
      <c r="E34" s="7" t="s">
        <v>99</v>
      </c>
      <c r="F34" s="7" t="s">
        <v>98</v>
      </c>
      <c r="G34" s="7">
        <v>74.0</v>
      </c>
      <c r="H34" s="7">
        <v>77.0</v>
      </c>
      <c r="I34" s="7">
        <v>5.0</v>
      </c>
      <c r="J34" s="7" t="s">
        <v>117</v>
      </c>
      <c r="K34" s="7" t="b">
        <v>0</v>
      </c>
      <c r="L34" s="2">
        <v>18.983</v>
      </c>
      <c r="M34" s="9">
        <v>0.7909722222222222</v>
      </c>
      <c r="N34" s="7">
        <v>18.983</v>
      </c>
      <c r="O34" s="15">
        <v>0.7909722222222222</v>
      </c>
      <c r="P34" s="7">
        <v>3.0</v>
      </c>
      <c r="Q34" s="7">
        <v>1.0</v>
      </c>
      <c r="R34" s="7">
        <v>3.0</v>
      </c>
      <c r="S34" s="7">
        <v>0.0</v>
      </c>
      <c r="T34" s="7">
        <v>0.0</v>
      </c>
      <c r="U34" s="7">
        <v>1.0</v>
      </c>
      <c r="V34" s="7">
        <v>2.0</v>
      </c>
      <c r="W34" s="7">
        <v>1.0</v>
      </c>
      <c r="X34" s="7">
        <v>3.0</v>
      </c>
      <c r="Y34" s="7">
        <v>0.3333</v>
      </c>
      <c r="AA34" s="7">
        <v>0.5</v>
      </c>
      <c r="AB34" s="7">
        <v>0.3333</v>
      </c>
      <c r="AC34" s="7">
        <v>0.3866</v>
      </c>
      <c r="AD34" s="7">
        <v>0.0</v>
      </c>
      <c r="AE34" s="7">
        <v>1.0</v>
      </c>
      <c r="AF34" s="7">
        <v>0.0</v>
      </c>
      <c r="AG34" s="7">
        <v>3.0</v>
      </c>
      <c r="AH34" s="7">
        <v>4.0</v>
      </c>
      <c r="AI34" s="7">
        <v>1.0</v>
      </c>
      <c r="AJ34" s="7">
        <v>3.0</v>
      </c>
      <c r="AK34" s="7">
        <v>0.0</v>
      </c>
      <c r="AL34" s="7">
        <v>3.0</v>
      </c>
      <c r="AM34" s="7">
        <v>0.107</v>
      </c>
      <c r="AN34" s="7">
        <v>0.0</v>
      </c>
      <c r="AO34" s="7">
        <v>2.0</v>
      </c>
      <c r="AP34" s="7">
        <v>0.171</v>
      </c>
      <c r="AQ34" s="7">
        <v>0.1326</v>
      </c>
      <c r="AR34" s="7">
        <v>1.12</v>
      </c>
      <c r="AS34" s="7">
        <v>0.66</v>
      </c>
      <c r="AU34" s="7">
        <v>249.933</v>
      </c>
      <c r="AV34" s="7">
        <v>66.0</v>
      </c>
      <c r="AW34" s="7">
        <v>27.0</v>
      </c>
      <c r="AX34" s="7">
        <v>19.0</v>
      </c>
      <c r="AY34" s="7">
        <v>5.69</v>
      </c>
      <c r="AZ34" s="7">
        <v>5.69</v>
      </c>
      <c r="BA34" s="7">
        <v>5.69</v>
      </c>
      <c r="BB34" s="7">
        <v>1.9</v>
      </c>
      <c r="BC34" s="7">
        <v>3.79</v>
      </c>
      <c r="BD34" s="7">
        <v>0.0</v>
      </c>
      <c r="BE34" s="7">
        <v>7.59</v>
      </c>
      <c r="BF34" s="7" t="s">
        <v>86</v>
      </c>
      <c r="BG34" s="10"/>
      <c r="BH34" s="12"/>
      <c r="BI34" s="12"/>
      <c r="BJ34" s="12">
        <f t="shared" si="1"/>
        <v>0.2049180328</v>
      </c>
      <c r="BK34" s="12">
        <f t="shared" si="2"/>
        <v>0.6666666667</v>
      </c>
      <c r="BL34" s="12">
        <f t="shared" si="3"/>
        <v>1</v>
      </c>
      <c r="BM34" s="13">
        <f t="shared" si="4"/>
        <v>0.6666666667</v>
      </c>
      <c r="BN34" s="13">
        <f t="shared" si="5"/>
        <v>0</v>
      </c>
      <c r="BO34" s="12">
        <f t="shared" si="6"/>
        <v>0.3333333333</v>
      </c>
      <c r="BP34" s="14">
        <f t="shared" si="7"/>
        <v>3</v>
      </c>
    </row>
    <row r="35">
      <c r="A35" s="7" t="s">
        <v>95</v>
      </c>
      <c r="B35" s="7" t="s">
        <v>96</v>
      </c>
      <c r="C35" s="8">
        <v>46186.0</v>
      </c>
      <c r="D35" s="7" t="s">
        <v>97</v>
      </c>
      <c r="E35" s="7" t="s">
        <v>99</v>
      </c>
      <c r="F35" s="7" t="s">
        <v>98</v>
      </c>
      <c r="G35" s="7">
        <v>74.0</v>
      </c>
      <c r="H35" s="7">
        <v>77.0</v>
      </c>
      <c r="I35" s="7">
        <v>7.0</v>
      </c>
      <c r="J35" s="7" t="s">
        <v>118</v>
      </c>
      <c r="K35" s="7" t="b">
        <v>0</v>
      </c>
      <c r="L35" s="2">
        <v>26.333</v>
      </c>
      <c r="M35" s="9">
        <v>1.0972222222222223</v>
      </c>
      <c r="N35" s="7">
        <v>26.333</v>
      </c>
      <c r="O35" s="9">
        <v>1.0972222222222223</v>
      </c>
      <c r="P35" s="7">
        <v>7.0</v>
      </c>
      <c r="Q35" s="7">
        <v>1.0</v>
      </c>
      <c r="R35" s="7">
        <v>2.0</v>
      </c>
      <c r="S35" s="7">
        <v>1.0</v>
      </c>
      <c r="T35" s="7">
        <v>7.0</v>
      </c>
      <c r="U35" s="7">
        <v>2.0</v>
      </c>
      <c r="V35" s="7">
        <v>2.0</v>
      </c>
      <c r="W35" s="7">
        <v>2.0</v>
      </c>
      <c r="X35" s="7">
        <v>9.0</v>
      </c>
      <c r="Y35" s="7">
        <v>0.5</v>
      </c>
      <c r="Z35" s="7">
        <v>0.1429</v>
      </c>
      <c r="AA35" s="7">
        <v>1.0</v>
      </c>
      <c r="AB35" s="7">
        <v>0.2778</v>
      </c>
      <c r="AC35" s="7">
        <v>0.3543</v>
      </c>
      <c r="AD35" s="7">
        <v>0.0</v>
      </c>
      <c r="AE35" s="7">
        <v>0.222</v>
      </c>
      <c r="AF35" s="7">
        <v>0.778</v>
      </c>
      <c r="AG35" s="7">
        <v>4.0</v>
      </c>
      <c r="AH35" s="7">
        <v>3.0</v>
      </c>
      <c r="AI35" s="7">
        <v>5.0</v>
      </c>
      <c r="AJ35" s="7">
        <v>3.0</v>
      </c>
      <c r="AK35" s="7">
        <v>0.0</v>
      </c>
      <c r="AL35" s="7">
        <v>3.0</v>
      </c>
      <c r="AM35" s="7">
        <v>0.061</v>
      </c>
      <c r="AN35" s="7">
        <v>0.0</v>
      </c>
      <c r="AO35" s="7">
        <v>1.0</v>
      </c>
      <c r="AP35" s="7">
        <v>0.281</v>
      </c>
      <c r="AQ35" s="7">
        <v>0.2916</v>
      </c>
      <c r="AR35" s="7">
        <v>0.67</v>
      </c>
      <c r="AS35" s="7">
        <v>0.78</v>
      </c>
      <c r="AU35" s="7">
        <v>249.933</v>
      </c>
      <c r="AV35" s="7">
        <v>66.0</v>
      </c>
      <c r="AW35" s="7">
        <v>27.0</v>
      </c>
      <c r="AX35" s="7">
        <v>19.0</v>
      </c>
      <c r="AY35" s="7">
        <v>9.57</v>
      </c>
      <c r="AZ35" s="7">
        <v>4.1</v>
      </c>
      <c r="BA35" s="7">
        <v>5.47</v>
      </c>
      <c r="BB35" s="7">
        <v>6.84</v>
      </c>
      <c r="BC35" s="7">
        <v>1.37</v>
      </c>
      <c r="BD35" s="7">
        <v>0.0</v>
      </c>
      <c r="BE35" s="7">
        <v>4.1</v>
      </c>
      <c r="BF35" s="7" t="s">
        <v>76</v>
      </c>
      <c r="BG35" s="10"/>
      <c r="BH35" s="12"/>
      <c r="BI35" s="12"/>
      <c r="BJ35" s="12">
        <f t="shared" si="1"/>
        <v>0.3360215054</v>
      </c>
      <c r="BK35" s="12">
        <f t="shared" si="2"/>
        <v>0.2222222222</v>
      </c>
      <c r="BL35" s="12">
        <f t="shared" si="3"/>
        <v>0.7777777778</v>
      </c>
      <c r="BM35" s="13">
        <f t="shared" si="4"/>
        <v>0.2857142857</v>
      </c>
      <c r="BN35" s="13">
        <f t="shared" si="5"/>
        <v>0.4285714286</v>
      </c>
      <c r="BO35" s="12">
        <f t="shared" si="6"/>
        <v>0.2857142857</v>
      </c>
      <c r="BP35" s="14">
        <f t="shared" si="7"/>
        <v>0.8</v>
      </c>
    </row>
    <row r="36">
      <c r="A36" s="7" t="s">
        <v>95</v>
      </c>
      <c r="B36" s="7" t="s">
        <v>96</v>
      </c>
      <c r="C36" s="8">
        <v>46186.0</v>
      </c>
      <c r="D36" s="7" t="s">
        <v>97</v>
      </c>
      <c r="E36" s="7" t="s">
        <v>99</v>
      </c>
      <c r="F36" s="7" t="s">
        <v>98</v>
      </c>
      <c r="G36" s="7">
        <v>74.0</v>
      </c>
      <c r="H36" s="7">
        <v>77.0</v>
      </c>
      <c r="I36" s="7">
        <v>10.0</v>
      </c>
      <c r="J36" s="7" t="s">
        <v>119</v>
      </c>
      <c r="K36" s="7" t="b">
        <v>1</v>
      </c>
      <c r="L36" s="2">
        <v>31.65</v>
      </c>
      <c r="M36" s="9">
        <v>1.31875</v>
      </c>
      <c r="N36" s="7">
        <v>31.65</v>
      </c>
      <c r="O36" s="9">
        <v>1.31875</v>
      </c>
      <c r="P36" s="7">
        <v>13.0</v>
      </c>
      <c r="Q36" s="7">
        <v>2.0</v>
      </c>
      <c r="R36" s="7">
        <v>4.0</v>
      </c>
      <c r="S36" s="7">
        <v>2.0</v>
      </c>
      <c r="T36" s="7">
        <v>9.0</v>
      </c>
      <c r="U36" s="7">
        <v>3.0</v>
      </c>
      <c r="V36" s="7">
        <v>6.0</v>
      </c>
      <c r="W36" s="7">
        <v>4.0</v>
      </c>
      <c r="X36" s="7">
        <v>13.0</v>
      </c>
      <c r="Y36" s="7">
        <v>0.5</v>
      </c>
      <c r="Z36" s="7">
        <v>0.2222</v>
      </c>
      <c r="AA36" s="7">
        <v>0.5</v>
      </c>
      <c r="AB36" s="7">
        <v>0.3846</v>
      </c>
      <c r="AC36" s="7">
        <v>0.4156</v>
      </c>
      <c r="AD36" s="7">
        <v>3.0</v>
      </c>
      <c r="AE36" s="7">
        <v>0.308</v>
      </c>
      <c r="AF36" s="7">
        <v>0.692</v>
      </c>
      <c r="AG36" s="7">
        <v>1.0</v>
      </c>
      <c r="AH36" s="7">
        <v>2.0</v>
      </c>
      <c r="AI36" s="7">
        <v>2.0</v>
      </c>
      <c r="AJ36" s="7">
        <v>3.0</v>
      </c>
      <c r="AK36" s="7">
        <v>2.0</v>
      </c>
      <c r="AL36" s="7">
        <v>1.0</v>
      </c>
      <c r="AM36" s="7">
        <v>0.068</v>
      </c>
      <c r="AN36" s="7">
        <v>0.0</v>
      </c>
      <c r="AO36" s="7">
        <v>2.0</v>
      </c>
      <c r="AP36" s="7">
        <v>0.356</v>
      </c>
      <c r="AQ36" s="7">
        <v>0.2876</v>
      </c>
      <c r="AR36" s="7">
        <v>1.04</v>
      </c>
      <c r="AS36" s="7">
        <v>0.89</v>
      </c>
      <c r="AU36" s="7">
        <v>249.933</v>
      </c>
      <c r="AV36" s="7">
        <v>66.0</v>
      </c>
      <c r="AW36" s="7">
        <v>27.0</v>
      </c>
      <c r="AX36" s="7">
        <v>19.0</v>
      </c>
      <c r="AY36" s="7">
        <v>14.79</v>
      </c>
      <c r="AZ36" s="7">
        <v>3.41</v>
      </c>
      <c r="BA36" s="7">
        <v>1.14</v>
      </c>
      <c r="BB36" s="7">
        <v>2.27</v>
      </c>
      <c r="BC36" s="7">
        <v>2.27</v>
      </c>
      <c r="BD36" s="7">
        <v>0.0</v>
      </c>
      <c r="BE36" s="7">
        <v>2.27</v>
      </c>
      <c r="BF36" s="7" t="s">
        <v>76</v>
      </c>
      <c r="BG36" s="10"/>
      <c r="BH36" s="12"/>
      <c r="BI36" s="12"/>
      <c r="BJ36" s="12">
        <f t="shared" si="1"/>
        <v>0.1133786848</v>
      </c>
      <c r="BK36" s="12">
        <f t="shared" si="2"/>
        <v>0.4615384615</v>
      </c>
      <c r="BL36" s="12">
        <f t="shared" si="3"/>
        <v>1</v>
      </c>
      <c r="BM36" s="13">
        <f t="shared" si="4"/>
        <v>0.3076923077</v>
      </c>
      <c r="BN36" s="13">
        <f t="shared" si="5"/>
        <v>0.4615384615</v>
      </c>
      <c r="BO36" s="12">
        <f t="shared" si="6"/>
        <v>0.2307692308</v>
      </c>
      <c r="BP36" s="14">
        <f t="shared" si="7"/>
        <v>0.5</v>
      </c>
    </row>
    <row r="37">
      <c r="A37" s="7" t="s">
        <v>95</v>
      </c>
      <c r="B37" s="7" t="s">
        <v>96</v>
      </c>
      <c r="C37" s="8">
        <v>46186.0</v>
      </c>
      <c r="D37" s="7" t="s">
        <v>97</v>
      </c>
      <c r="E37" s="7" t="s">
        <v>99</v>
      </c>
      <c r="F37" s="7" t="s">
        <v>98</v>
      </c>
      <c r="G37" s="7">
        <v>74.0</v>
      </c>
      <c r="H37" s="7">
        <v>77.0</v>
      </c>
      <c r="I37" s="7">
        <v>11.0</v>
      </c>
      <c r="J37" s="7" t="s">
        <v>120</v>
      </c>
      <c r="K37" s="7" t="b">
        <v>0</v>
      </c>
      <c r="L37" s="2">
        <v>16.033</v>
      </c>
      <c r="M37" s="9">
        <v>0.6680555555555555</v>
      </c>
      <c r="N37" s="7">
        <v>16.033</v>
      </c>
      <c r="O37" s="15">
        <v>0.6680555555555555</v>
      </c>
      <c r="P37" s="7">
        <v>3.0</v>
      </c>
      <c r="Q37" s="7">
        <v>0.0</v>
      </c>
      <c r="R37" s="7">
        <v>4.0</v>
      </c>
      <c r="S37" s="7">
        <v>1.0</v>
      </c>
      <c r="T37" s="7">
        <v>2.0</v>
      </c>
      <c r="U37" s="7">
        <v>0.0</v>
      </c>
      <c r="V37" s="7">
        <v>0.0</v>
      </c>
      <c r="W37" s="7">
        <v>1.0</v>
      </c>
      <c r="X37" s="7">
        <v>6.0</v>
      </c>
      <c r="Y37" s="7">
        <v>0.0</v>
      </c>
      <c r="Z37" s="7">
        <v>0.5</v>
      </c>
      <c r="AB37" s="7">
        <v>0.25</v>
      </c>
      <c r="AC37" s="7">
        <v>0.25</v>
      </c>
      <c r="AD37" s="7">
        <v>0.0</v>
      </c>
      <c r="AE37" s="7">
        <v>0.667</v>
      </c>
      <c r="AF37" s="7">
        <v>0.333</v>
      </c>
      <c r="AG37" s="7">
        <v>0.0</v>
      </c>
      <c r="AH37" s="7">
        <v>1.0</v>
      </c>
      <c r="AI37" s="7">
        <v>0.0</v>
      </c>
      <c r="AJ37" s="7">
        <v>1.0</v>
      </c>
      <c r="AK37" s="7">
        <v>1.0</v>
      </c>
      <c r="AL37" s="7">
        <v>0.0</v>
      </c>
      <c r="AM37" s="7">
        <v>0.03</v>
      </c>
      <c r="AN37" s="7">
        <v>0.0</v>
      </c>
      <c r="AO37" s="7">
        <v>0.0</v>
      </c>
      <c r="AP37" s="7">
        <v>0.176</v>
      </c>
      <c r="AQ37" s="7">
        <v>0.1931</v>
      </c>
      <c r="AR37" s="7">
        <v>0.69</v>
      </c>
      <c r="AS37" s="7">
        <v>0.93</v>
      </c>
      <c r="AU37" s="7">
        <v>249.933</v>
      </c>
      <c r="AV37" s="7">
        <v>66.0</v>
      </c>
      <c r="AW37" s="7">
        <v>27.0</v>
      </c>
      <c r="AX37" s="7">
        <v>19.0</v>
      </c>
      <c r="AY37" s="7">
        <v>6.74</v>
      </c>
      <c r="AZ37" s="7">
        <v>2.25</v>
      </c>
      <c r="BA37" s="7">
        <v>0.0</v>
      </c>
      <c r="BB37" s="7">
        <v>0.0</v>
      </c>
      <c r="BC37" s="7">
        <v>0.0</v>
      </c>
      <c r="BD37" s="7">
        <v>0.0</v>
      </c>
      <c r="BE37" s="7">
        <v>2.25</v>
      </c>
      <c r="BF37" s="7" t="s">
        <v>103</v>
      </c>
      <c r="BG37" s="10"/>
      <c r="BH37" s="12"/>
      <c r="BI37" s="12"/>
      <c r="BJ37" s="12">
        <f t="shared" si="1"/>
        <v>0</v>
      </c>
      <c r="BK37" s="12">
        <f t="shared" si="2"/>
        <v>0</v>
      </c>
      <c r="BL37" s="12">
        <f t="shared" si="3"/>
        <v>0.5</v>
      </c>
      <c r="BM37" s="13">
        <f t="shared" si="4"/>
        <v>0</v>
      </c>
      <c r="BN37" s="13">
        <f t="shared" si="5"/>
        <v>1</v>
      </c>
      <c r="BO37" s="12">
        <f t="shared" si="6"/>
        <v>0</v>
      </c>
      <c r="BP37" s="14" t="str">
        <f t="shared" si="7"/>
        <v/>
      </c>
    </row>
    <row r="38">
      <c r="A38" s="7" t="s">
        <v>95</v>
      </c>
      <c r="B38" s="7" t="s">
        <v>96</v>
      </c>
      <c r="C38" s="8">
        <v>46186.0</v>
      </c>
      <c r="D38" s="7" t="s">
        <v>97</v>
      </c>
      <c r="E38" s="7" t="s">
        <v>99</v>
      </c>
      <c r="F38" s="7" t="s">
        <v>98</v>
      </c>
      <c r="G38" s="7">
        <v>74.0</v>
      </c>
      <c r="H38" s="7">
        <v>77.0</v>
      </c>
      <c r="I38" s="7">
        <v>23.0</v>
      </c>
      <c r="J38" s="7" t="s">
        <v>121</v>
      </c>
      <c r="K38" s="7" t="b">
        <v>0</v>
      </c>
      <c r="L38" s="2">
        <v>31.883</v>
      </c>
      <c r="M38" s="9">
        <v>1.3284722222222223</v>
      </c>
      <c r="N38" s="7">
        <v>31.883</v>
      </c>
      <c r="O38" s="9">
        <v>1.3284722222222223</v>
      </c>
      <c r="P38" s="7">
        <v>8.0</v>
      </c>
      <c r="Q38" s="7">
        <v>3.0</v>
      </c>
      <c r="R38" s="7">
        <v>4.0</v>
      </c>
      <c r="S38" s="7">
        <v>0.0</v>
      </c>
      <c r="T38" s="7">
        <v>0.0</v>
      </c>
      <c r="U38" s="7">
        <v>2.0</v>
      </c>
      <c r="V38" s="7">
        <v>2.0</v>
      </c>
      <c r="W38" s="7">
        <v>3.0</v>
      </c>
      <c r="X38" s="7">
        <v>4.0</v>
      </c>
      <c r="Y38" s="7">
        <v>0.75</v>
      </c>
      <c r="AA38" s="7">
        <v>1.0</v>
      </c>
      <c r="AB38" s="7">
        <v>0.75</v>
      </c>
      <c r="AC38" s="7">
        <v>0.8197</v>
      </c>
      <c r="AD38" s="7">
        <v>1.0</v>
      </c>
      <c r="AE38" s="7">
        <v>1.0</v>
      </c>
      <c r="AF38" s="7">
        <v>0.0</v>
      </c>
      <c r="AG38" s="7">
        <v>1.0</v>
      </c>
      <c r="AH38" s="7">
        <v>2.0</v>
      </c>
      <c r="AI38" s="7">
        <v>2.0</v>
      </c>
      <c r="AJ38" s="7">
        <v>5.0</v>
      </c>
      <c r="AK38" s="7">
        <v>1.0</v>
      </c>
      <c r="AL38" s="7">
        <v>4.0</v>
      </c>
      <c r="AM38" s="7">
        <v>0.104</v>
      </c>
      <c r="AN38" s="7">
        <v>0.0</v>
      </c>
      <c r="AO38" s="7">
        <v>1.0</v>
      </c>
      <c r="AP38" s="7">
        <v>0.133</v>
      </c>
      <c r="AQ38" s="7">
        <v>0.1113</v>
      </c>
      <c r="AR38" s="7">
        <v>0.82</v>
      </c>
      <c r="AS38" s="7">
        <v>0.75</v>
      </c>
      <c r="AU38" s="7">
        <v>249.933</v>
      </c>
      <c r="AV38" s="7">
        <v>66.0</v>
      </c>
      <c r="AW38" s="7">
        <v>27.0</v>
      </c>
      <c r="AX38" s="7">
        <v>19.0</v>
      </c>
      <c r="AY38" s="7">
        <v>9.03</v>
      </c>
      <c r="AZ38" s="7">
        <v>5.65</v>
      </c>
      <c r="BA38" s="7">
        <v>1.13</v>
      </c>
      <c r="BB38" s="7">
        <v>2.26</v>
      </c>
      <c r="BC38" s="7">
        <v>1.13</v>
      </c>
      <c r="BD38" s="7">
        <v>0.0</v>
      </c>
      <c r="BE38" s="7">
        <v>2.26</v>
      </c>
      <c r="BF38" s="7" t="s">
        <v>86</v>
      </c>
      <c r="BG38" s="10"/>
      <c r="BH38" s="12"/>
      <c r="BI38" s="12"/>
      <c r="BJ38" s="12">
        <f t="shared" si="1"/>
        <v>0.2906976744</v>
      </c>
      <c r="BK38" s="12">
        <f t="shared" si="2"/>
        <v>0.5</v>
      </c>
      <c r="BL38" s="12">
        <f t="shared" si="3"/>
        <v>2</v>
      </c>
      <c r="BM38" s="13">
        <f t="shared" si="4"/>
        <v>0.75</v>
      </c>
      <c r="BN38" s="13">
        <f t="shared" si="5"/>
        <v>0</v>
      </c>
      <c r="BO38" s="12">
        <f t="shared" si="6"/>
        <v>0.25</v>
      </c>
      <c r="BP38" s="14">
        <f t="shared" si="7"/>
        <v>0.5</v>
      </c>
    </row>
    <row r="39">
      <c r="A39" s="7" t="s">
        <v>95</v>
      </c>
      <c r="B39" s="7" t="s">
        <v>96</v>
      </c>
      <c r="C39" s="8">
        <v>46186.0</v>
      </c>
      <c r="D39" s="7" t="s">
        <v>97</v>
      </c>
      <c r="E39" s="7" t="s">
        <v>99</v>
      </c>
      <c r="F39" s="7" t="s">
        <v>98</v>
      </c>
      <c r="G39" s="7">
        <v>74.0</v>
      </c>
      <c r="H39" s="7">
        <v>77.0</v>
      </c>
      <c r="I39" s="7">
        <v>24.0</v>
      </c>
      <c r="J39" s="7" t="s">
        <v>122</v>
      </c>
      <c r="K39" s="7" t="b">
        <v>1</v>
      </c>
      <c r="L39" s="2">
        <v>25.133</v>
      </c>
      <c r="M39" s="9">
        <v>1.0472222222222223</v>
      </c>
      <c r="N39" s="7">
        <v>25.133</v>
      </c>
      <c r="O39" s="9">
        <v>1.0472222222222223</v>
      </c>
      <c r="P39" s="7">
        <v>2.0</v>
      </c>
      <c r="Q39" s="7">
        <v>1.0</v>
      </c>
      <c r="R39" s="7">
        <v>6.0</v>
      </c>
      <c r="S39" s="7">
        <v>0.0</v>
      </c>
      <c r="T39" s="7">
        <v>1.0</v>
      </c>
      <c r="U39" s="7">
        <v>0.0</v>
      </c>
      <c r="V39" s="7">
        <v>0.0</v>
      </c>
      <c r="W39" s="7">
        <v>1.0</v>
      </c>
      <c r="X39" s="7">
        <v>7.0</v>
      </c>
      <c r="Y39" s="7">
        <v>0.1667</v>
      </c>
      <c r="Z39" s="7">
        <v>0.0</v>
      </c>
      <c r="AB39" s="7">
        <v>0.1429</v>
      </c>
      <c r="AC39" s="7">
        <v>0.1429</v>
      </c>
      <c r="AD39" s="7">
        <v>0.0</v>
      </c>
      <c r="AE39" s="7">
        <v>0.857</v>
      </c>
      <c r="AF39" s="7">
        <v>0.143</v>
      </c>
      <c r="AG39" s="7">
        <v>2.0</v>
      </c>
      <c r="AH39" s="7">
        <v>2.0</v>
      </c>
      <c r="AI39" s="7">
        <v>0.0</v>
      </c>
      <c r="AJ39" s="7">
        <v>2.0</v>
      </c>
      <c r="AK39" s="7">
        <v>1.0</v>
      </c>
      <c r="AL39" s="7">
        <v>1.0</v>
      </c>
      <c r="AM39" s="7">
        <v>0.043</v>
      </c>
      <c r="AN39" s="7">
        <v>0.0</v>
      </c>
      <c r="AO39" s="7">
        <v>2.0</v>
      </c>
      <c r="AP39" s="7">
        <v>0.145</v>
      </c>
      <c r="AQ39" s="7">
        <v>0.1437</v>
      </c>
      <c r="AR39" s="7">
        <v>0.84</v>
      </c>
      <c r="AS39" s="7">
        <v>0.98</v>
      </c>
      <c r="AU39" s="7">
        <v>249.933</v>
      </c>
      <c r="AV39" s="7">
        <v>66.0</v>
      </c>
      <c r="AW39" s="7">
        <v>27.0</v>
      </c>
      <c r="AX39" s="7">
        <v>19.0</v>
      </c>
      <c r="AY39" s="7">
        <v>2.86</v>
      </c>
      <c r="AZ39" s="7">
        <v>2.86</v>
      </c>
      <c r="BA39" s="7">
        <v>2.86</v>
      </c>
      <c r="BB39" s="7">
        <v>0.0</v>
      </c>
      <c r="BC39" s="7">
        <v>2.86</v>
      </c>
      <c r="BD39" s="7">
        <v>0.0</v>
      </c>
      <c r="BE39" s="7">
        <v>2.86</v>
      </c>
      <c r="BF39" s="7" t="s">
        <v>79</v>
      </c>
      <c r="BG39" s="10"/>
      <c r="BH39" s="12"/>
      <c r="BI39" s="12"/>
      <c r="BJ39" s="12">
        <f t="shared" si="1"/>
        <v>0</v>
      </c>
      <c r="BK39" s="12">
        <f t="shared" si="2"/>
        <v>0</v>
      </c>
      <c r="BL39" s="12">
        <f t="shared" si="3"/>
        <v>0.2857142857</v>
      </c>
      <c r="BM39" s="13">
        <f t="shared" si="4"/>
        <v>1</v>
      </c>
      <c r="BN39" s="13">
        <f t="shared" si="5"/>
        <v>0</v>
      </c>
      <c r="BO39" s="12">
        <f t="shared" si="6"/>
        <v>0</v>
      </c>
      <c r="BP39" s="14" t="str">
        <f t="shared" si="7"/>
        <v/>
      </c>
    </row>
    <row r="40">
      <c r="A40" s="7" t="s">
        <v>123</v>
      </c>
      <c r="B40" s="7" t="s">
        <v>124</v>
      </c>
      <c r="C40" s="8">
        <v>46186.0</v>
      </c>
      <c r="D40" s="7" t="s">
        <v>125</v>
      </c>
      <c r="E40" s="7" t="s">
        <v>126</v>
      </c>
      <c r="F40" s="7" t="s">
        <v>127</v>
      </c>
      <c r="G40" s="7">
        <v>72.0</v>
      </c>
      <c r="H40" s="7">
        <v>85.0</v>
      </c>
      <c r="I40" s="7">
        <v>0.0</v>
      </c>
      <c r="J40" s="7" t="s">
        <v>128</v>
      </c>
      <c r="K40" s="7" t="b">
        <v>0</v>
      </c>
      <c r="L40" s="2">
        <v>10.383</v>
      </c>
      <c r="M40" s="9">
        <v>0.4326388888888889</v>
      </c>
      <c r="N40" s="7">
        <v>10.383</v>
      </c>
      <c r="O40" s="15">
        <v>0.4326388888888889</v>
      </c>
      <c r="P40" s="7">
        <v>5.0</v>
      </c>
      <c r="Q40" s="7">
        <v>2.0</v>
      </c>
      <c r="R40" s="7">
        <v>2.0</v>
      </c>
      <c r="S40" s="7">
        <v>0.0</v>
      </c>
      <c r="T40" s="7">
        <v>0.0</v>
      </c>
      <c r="U40" s="7">
        <v>1.0</v>
      </c>
      <c r="V40" s="7">
        <v>1.0</v>
      </c>
      <c r="W40" s="7">
        <v>2.0</v>
      </c>
      <c r="X40" s="7">
        <v>2.0</v>
      </c>
      <c r="Y40" s="7">
        <v>1.0</v>
      </c>
      <c r="AA40" s="7">
        <v>1.0</v>
      </c>
      <c r="AB40" s="7">
        <v>1.0</v>
      </c>
      <c r="AC40" s="7">
        <v>1.0246</v>
      </c>
      <c r="AD40" s="7">
        <v>0.0</v>
      </c>
      <c r="AE40" s="7">
        <v>1.0</v>
      </c>
      <c r="AF40" s="7">
        <v>0.0</v>
      </c>
      <c r="AG40" s="7">
        <v>3.0</v>
      </c>
      <c r="AH40" s="7">
        <v>1.0</v>
      </c>
      <c r="AI40" s="7">
        <v>1.0</v>
      </c>
      <c r="AJ40" s="7">
        <v>2.0</v>
      </c>
      <c r="AK40" s="7">
        <v>2.0</v>
      </c>
      <c r="AL40" s="7">
        <v>0.0</v>
      </c>
      <c r="AM40" s="7">
        <v>0.067</v>
      </c>
      <c r="AN40" s="7">
        <v>0.0</v>
      </c>
      <c r="AO40" s="7">
        <v>0.0</v>
      </c>
      <c r="AP40" s="7">
        <v>0.182</v>
      </c>
      <c r="AQ40" s="7">
        <v>0.1221</v>
      </c>
      <c r="AR40" s="7">
        <v>0.92</v>
      </c>
      <c r="AS40" s="7">
        <v>1.09</v>
      </c>
      <c r="AT40" s="7">
        <v>24.0</v>
      </c>
      <c r="AU40" s="7">
        <v>200.117</v>
      </c>
      <c r="AV40" s="7">
        <v>78.0</v>
      </c>
      <c r="AW40" s="7">
        <v>24.0</v>
      </c>
      <c r="AX40" s="7">
        <v>20.0</v>
      </c>
      <c r="AY40" s="7">
        <v>17.34</v>
      </c>
      <c r="AZ40" s="7">
        <v>6.93</v>
      </c>
      <c r="BA40" s="7">
        <v>10.4</v>
      </c>
      <c r="BB40" s="7">
        <v>3.47</v>
      </c>
      <c r="BC40" s="7">
        <v>0.0</v>
      </c>
      <c r="BD40" s="7">
        <v>0.0</v>
      </c>
      <c r="BE40" s="7">
        <v>3.47</v>
      </c>
      <c r="BF40" s="7" t="s">
        <v>86</v>
      </c>
      <c r="BG40" s="10"/>
      <c r="BH40" s="12"/>
      <c r="BI40" s="12"/>
      <c r="BJ40" s="12">
        <f t="shared" si="1"/>
        <v>0.2906976744</v>
      </c>
      <c r="BK40" s="12">
        <f t="shared" si="2"/>
        <v>0.5</v>
      </c>
      <c r="BL40" s="12">
        <f t="shared" si="3"/>
        <v>2.5</v>
      </c>
      <c r="BM40" s="13">
        <f t="shared" si="4"/>
        <v>0.8</v>
      </c>
      <c r="BN40" s="13">
        <f t="shared" si="5"/>
        <v>0</v>
      </c>
      <c r="BO40" s="12">
        <f t="shared" si="6"/>
        <v>0.2</v>
      </c>
      <c r="BP40" s="14">
        <f t="shared" si="7"/>
        <v>3</v>
      </c>
    </row>
    <row r="41">
      <c r="A41" s="7" t="s">
        <v>123</v>
      </c>
      <c r="B41" s="7" t="s">
        <v>124</v>
      </c>
      <c r="C41" s="8">
        <v>46186.0</v>
      </c>
      <c r="D41" s="7" t="s">
        <v>125</v>
      </c>
      <c r="E41" s="7" t="s">
        <v>126</v>
      </c>
      <c r="F41" s="7" t="s">
        <v>127</v>
      </c>
      <c r="G41" s="7">
        <v>72.0</v>
      </c>
      <c r="H41" s="7">
        <v>85.0</v>
      </c>
      <c r="I41" s="7">
        <v>1.0</v>
      </c>
      <c r="J41" s="7" t="s">
        <v>129</v>
      </c>
      <c r="K41" s="7" t="b">
        <v>0</v>
      </c>
      <c r="L41" s="2">
        <v>28.683</v>
      </c>
      <c r="M41" s="9">
        <v>1.195138888888889</v>
      </c>
      <c r="N41" s="7">
        <v>28.683</v>
      </c>
      <c r="O41" s="9">
        <v>1.195138888888889</v>
      </c>
      <c r="P41" s="7">
        <v>10.0</v>
      </c>
      <c r="Q41" s="7">
        <v>2.0</v>
      </c>
      <c r="R41" s="7">
        <v>3.0</v>
      </c>
      <c r="S41" s="7">
        <v>2.0</v>
      </c>
      <c r="T41" s="7">
        <v>6.0</v>
      </c>
      <c r="U41" s="7">
        <v>0.0</v>
      </c>
      <c r="V41" s="7">
        <v>1.0</v>
      </c>
      <c r="W41" s="7">
        <v>4.0</v>
      </c>
      <c r="X41" s="7">
        <v>9.0</v>
      </c>
      <c r="Y41" s="7">
        <v>0.6667</v>
      </c>
      <c r="Z41" s="7">
        <v>0.3333</v>
      </c>
      <c r="AA41" s="7">
        <v>0.0</v>
      </c>
      <c r="AB41" s="7">
        <v>0.5556</v>
      </c>
      <c r="AC41" s="7">
        <v>0.5297</v>
      </c>
      <c r="AD41" s="7">
        <v>0.0</v>
      </c>
      <c r="AE41" s="7">
        <v>0.333</v>
      </c>
      <c r="AF41" s="7">
        <v>0.667</v>
      </c>
      <c r="AG41" s="7">
        <v>3.0</v>
      </c>
      <c r="AH41" s="7">
        <v>2.0</v>
      </c>
      <c r="AI41" s="7">
        <v>3.0</v>
      </c>
      <c r="AJ41" s="7">
        <v>11.0</v>
      </c>
      <c r="AK41" s="7">
        <v>4.0</v>
      </c>
      <c r="AL41" s="7">
        <v>7.0</v>
      </c>
      <c r="AM41" s="7">
        <v>0.145</v>
      </c>
      <c r="AN41" s="7">
        <v>0.0</v>
      </c>
      <c r="AO41" s="7">
        <v>2.0</v>
      </c>
      <c r="AP41" s="7">
        <v>0.161</v>
      </c>
      <c r="AQ41" s="7">
        <v>0.1599</v>
      </c>
      <c r="AR41" s="7">
        <v>0.79</v>
      </c>
      <c r="AS41" s="7">
        <v>1.02</v>
      </c>
      <c r="AT41" s="7">
        <v>68.0</v>
      </c>
      <c r="AU41" s="7">
        <v>200.117</v>
      </c>
      <c r="AV41" s="7">
        <v>78.0</v>
      </c>
      <c r="AW41" s="7">
        <v>24.0</v>
      </c>
      <c r="AX41" s="7">
        <v>20.0</v>
      </c>
      <c r="AY41" s="7">
        <v>12.55</v>
      </c>
      <c r="AZ41" s="7">
        <v>13.81</v>
      </c>
      <c r="BA41" s="7">
        <v>3.77</v>
      </c>
      <c r="BB41" s="7">
        <v>3.77</v>
      </c>
      <c r="BC41" s="7">
        <v>2.51</v>
      </c>
      <c r="BD41" s="7">
        <v>0.0</v>
      </c>
      <c r="BE41" s="7">
        <v>2.51</v>
      </c>
      <c r="BF41" s="7" t="s">
        <v>84</v>
      </c>
      <c r="BG41" s="10"/>
      <c r="BH41" s="12"/>
      <c r="BI41" s="12"/>
      <c r="BJ41" s="12">
        <f t="shared" si="1"/>
        <v>0.2411575563</v>
      </c>
      <c r="BK41" s="12">
        <f t="shared" si="2"/>
        <v>0.1111111111</v>
      </c>
      <c r="BL41" s="12">
        <f t="shared" si="3"/>
        <v>1.111111111</v>
      </c>
      <c r="BM41" s="13">
        <f t="shared" si="4"/>
        <v>0.4</v>
      </c>
      <c r="BN41" s="13">
        <f t="shared" si="5"/>
        <v>0.6</v>
      </c>
      <c r="BO41" s="12">
        <f t="shared" si="6"/>
        <v>0</v>
      </c>
      <c r="BP41" s="14">
        <f t="shared" si="7"/>
        <v>1</v>
      </c>
    </row>
    <row r="42">
      <c r="A42" s="7" t="s">
        <v>123</v>
      </c>
      <c r="B42" s="7" t="s">
        <v>124</v>
      </c>
      <c r="C42" s="8">
        <v>46186.0</v>
      </c>
      <c r="D42" s="7" t="s">
        <v>125</v>
      </c>
      <c r="E42" s="7" t="s">
        <v>126</v>
      </c>
      <c r="F42" s="7" t="s">
        <v>127</v>
      </c>
      <c r="G42" s="7">
        <v>72.0</v>
      </c>
      <c r="H42" s="7">
        <v>85.0</v>
      </c>
      <c r="I42" s="7">
        <v>5.0</v>
      </c>
      <c r="J42" s="7" t="s">
        <v>130</v>
      </c>
      <c r="K42" s="7" t="b">
        <v>0</v>
      </c>
      <c r="L42" s="2">
        <v>14.45</v>
      </c>
      <c r="M42" s="9">
        <v>0.6020833333333333</v>
      </c>
      <c r="N42" s="7">
        <v>14.45</v>
      </c>
      <c r="O42" s="15">
        <v>0.6020833333333333</v>
      </c>
      <c r="P42" s="7">
        <v>2.0</v>
      </c>
      <c r="Q42" s="7">
        <v>1.0</v>
      </c>
      <c r="R42" s="7">
        <v>4.0</v>
      </c>
      <c r="S42" s="7">
        <v>0.0</v>
      </c>
      <c r="T42" s="7">
        <v>1.0</v>
      </c>
      <c r="U42" s="7">
        <v>0.0</v>
      </c>
      <c r="V42" s="7">
        <v>0.0</v>
      </c>
      <c r="W42" s="7">
        <v>1.0</v>
      </c>
      <c r="X42" s="7">
        <v>5.0</v>
      </c>
      <c r="Y42" s="7">
        <v>0.25</v>
      </c>
      <c r="Z42" s="7">
        <v>0.0</v>
      </c>
      <c r="AB42" s="7">
        <v>0.2</v>
      </c>
      <c r="AC42" s="7">
        <v>0.2</v>
      </c>
      <c r="AD42" s="7">
        <v>0.0</v>
      </c>
      <c r="AE42" s="7">
        <v>0.8</v>
      </c>
      <c r="AF42" s="7">
        <v>0.2</v>
      </c>
      <c r="AG42" s="7">
        <v>2.0</v>
      </c>
      <c r="AH42" s="7">
        <v>0.0</v>
      </c>
      <c r="AI42" s="7">
        <v>0.0</v>
      </c>
      <c r="AJ42" s="7">
        <v>8.0</v>
      </c>
      <c r="AK42" s="7">
        <v>3.0</v>
      </c>
      <c r="AL42" s="7">
        <v>5.0</v>
      </c>
      <c r="AM42" s="7">
        <v>0.2</v>
      </c>
      <c r="AN42" s="7">
        <v>1.0</v>
      </c>
      <c r="AO42" s="7">
        <v>0.0</v>
      </c>
      <c r="AP42" s="7">
        <v>0.109</v>
      </c>
      <c r="AQ42" s="7">
        <v>0.1276</v>
      </c>
      <c r="AR42" s="7">
        <v>0.65</v>
      </c>
      <c r="AS42" s="7">
        <v>1.15</v>
      </c>
      <c r="AT42" s="7">
        <v>34.0</v>
      </c>
      <c r="AU42" s="7">
        <v>200.117</v>
      </c>
      <c r="AV42" s="7">
        <v>78.0</v>
      </c>
      <c r="AW42" s="7">
        <v>24.0</v>
      </c>
      <c r="AX42" s="7">
        <v>20.0</v>
      </c>
      <c r="AY42" s="7">
        <v>4.98</v>
      </c>
      <c r="AZ42" s="7">
        <v>19.93</v>
      </c>
      <c r="BA42" s="7">
        <v>4.98</v>
      </c>
      <c r="BB42" s="7">
        <v>0.0</v>
      </c>
      <c r="BC42" s="7">
        <v>0.0</v>
      </c>
      <c r="BD42" s="7">
        <v>2.49</v>
      </c>
      <c r="BE42" s="7">
        <v>0.0</v>
      </c>
      <c r="BF42" s="7" t="s">
        <v>79</v>
      </c>
      <c r="BG42" s="10"/>
      <c r="BH42" s="12"/>
      <c r="BI42" s="12"/>
      <c r="BJ42" s="12">
        <f t="shared" si="1"/>
        <v>0</v>
      </c>
      <c r="BK42" s="12">
        <f t="shared" si="2"/>
        <v>0</v>
      </c>
      <c r="BL42" s="12">
        <f t="shared" si="3"/>
        <v>0.4</v>
      </c>
      <c r="BM42" s="13">
        <f t="shared" si="4"/>
        <v>1</v>
      </c>
      <c r="BN42" s="13">
        <f t="shared" si="5"/>
        <v>0</v>
      </c>
      <c r="BO42" s="12">
        <f t="shared" si="6"/>
        <v>0</v>
      </c>
      <c r="BP42" s="14" t="str">
        <f t="shared" si="7"/>
        <v/>
      </c>
    </row>
    <row r="43">
      <c r="A43" s="7" t="s">
        <v>123</v>
      </c>
      <c r="B43" s="7" t="s">
        <v>124</v>
      </c>
      <c r="C43" s="8">
        <v>46186.0</v>
      </c>
      <c r="D43" s="7" t="s">
        <v>125</v>
      </c>
      <c r="E43" s="7" t="s">
        <v>126</v>
      </c>
      <c r="F43" s="7" t="s">
        <v>127</v>
      </c>
      <c r="G43" s="7">
        <v>72.0</v>
      </c>
      <c r="H43" s="7">
        <v>85.0</v>
      </c>
      <c r="I43" s="7">
        <v>8.0</v>
      </c>
      <c r="J43" s="7" t="s">
        <v>131</v>
      </c>
      <c r="K43" s="7" t="b">
        <v>1</v>
      </c>
      <c r="L43" s="2">
        <v>22.733</v>
      </c>
      <c r="M43" s="9">
        <v>0.9472222222222222</v>
      </c>
      <c r="N43" s="7">
        <v>22.733</v>
      </c>
      <c r="O43" s="15">
        <v>0.9472222222222222</v>
      </c>
      <c r="P43" s="7">
        <v>3.0</v>
      </c>
      <c r="Q43" s="7">
        <v>0.0</v>
      </c>
      <c r="R43" s="7">
        <v>2.0</v>
      </c>
      <c r="S43" s="7">
        <v>1.0</v>
      </c>
      <c r="T43" s="7">
        <v>3.0</v>
      </c>
      <c r="U43" s="7">
        <v>0.0</v>
      </c>
      <c r="V43" s="7">
        <v>0.0</v>
      </c>
      <c r="W43" s="7">
        <v>1.0</v>
      </c>
      <c r="X43" s="7">
        <v>5.0</v>
      </c>
      <c r="Y43" s="7">
        <v>0.0</v>
      </c>
      <c r="Z43" s="7">
        <v>0.3333</v>
      </c>
      <c r="AB43" s="7">
        <v>0.3</v>
      </c>
      <c r="AC43" s="7">
        <v>0.3</v>
      </c>
      <c r="AD43" s="7">
        <v>0.0</v>
      </c>
      <c r="AE43" s="7">
        <v>0.4</v>
      </c>
      <c r="AF43" s="7">
        <v>0.6</v>
      </c>
      <c r="AG43" s="7">
        <v>1.0</v>
      </c>
      <c r="AH43" s="7">
        <v>2.0</v>
      </c>
      <c r="AI43" s="7">
        <v>0.0</v>
      </c>
      <c r="AJ43" s="7">
        <v>3.0</v>
      </c>
      <c r="AK43" s="7">
        <v>0.0</v>
      </c>
      <c r="AL43" s="7">
        <v>3.0</v>
      </c>
      <c r="AM43" s="7">
        <v>0.056</v>
      </c>
      <c r="AN43" s="7">
        <v>0.0</v>
      </c>
      <c r="AO43" s="7">
        <v>0.0</v>
      </c>
      <c r="AP43" s="7">
        <v>0.088</v>
      </c>
      <c r="AQ43" s="7">
        <v>0.0811</v>
      </c>
      <c r="AR43" s="7">
        <v>0.8</v>
      </c>
      <c r="AS43" s="7">
        <v>0.9</v>
      </c>
      <c r="AT43" s="7">
        <v>50.0</v>
      </c>
      <c r="AU43" s="7">
        <v>200.117</v>
      </c>
      <c r="AV43" s="7">
        <v>78.0</v>
      </c>
      <c r="AW43" s="7">
        <v>24.0</v>
      </c>
      <c r="AX43" s="7">
        <v>20.0</v>
      </c>
      <c r="AY43" s="7">
        <v>4.75</v>
      </c>
      <c r="AZ43" s="7">
        <v>4.75</v>
      </c>
      <c r="BA43" s="7">
        <v>1.58</v>
      </c>
      <c r="BB43" s="7">
        <v>0.0</v>
      </c>
      <c r="BC43" s="7">
        <v>0.0</v>
      </c>
      <c r="BD43" s="7">
        <v>0.0</v>
      </c>
      <c r="BE43" s="7">
        <v>3.17</v>
      </c>
      <c r="BF43" s="7" t="s">
        <v>103</v>
      </c>
      <c r="BG43" s="10"/>
      <c r="BH43" s="12"/>
      <c r="BI43" s="12"/>
      <c r="BJ43" s="12">
        <f t="shared" si="1"/>
        <v>0</v>
      </c>
      <c r="BK43" s="12">
        <f t="shared" si="2"/>
        <v>0</v>
      </c>
      <c r="BL43" s="12">
        <f t="shared" si="3"/>
        <v>0.6</v>
      </c>
      <c r="BM43" s="13">
        <f t="shared" si="4"/>
        <v>0</v>
      </c>
      <c r="BN43" s="13">
        <f t="shared" si="5"/>
        <v>1</v>
      </c>
      <c r="BO43" s="12">
        <f t="shared" si="6"/>
        <v>0</v>
      </c>
      <c r="BP43" s="14" t="str">
        <f t="shared" si="7"/>
        <v/>
      </c>
    </row>
    <row r="44">
      <c r="A44" s="7" t="s">
        <v>123</v>
      </c>
      <c r="B44" s="7" t="s">
        <v>124</v>
      </c>
      <c r="C44" s="8">
        <v>46186.0</v>
      </c>
      <c r="D44" s="7" t="s">
        <v>125</v>
      </c>
      <c r="E44" s="7" t="s">
        <v>126</v>
      </c>
      <c r="F44" s="7" t="s">
        <v>127</v>
      </c>
      <c r="G44" s="7">
        <v>72.0</v>
      </c>
      <c r="H44" s="7">
        <v>85.0</v>
      </c>
      <c r="I44" s="7">
        <v>10.0</v>
      </c>
      <c r="J44" s="7" t="s">
        <v>132</v>
      </c>
      <c r="K44" s="7" t="b">
        <v>1</v>
      </c>
      <c r="L44" s="2">
        <v>31.467</v>
      </c>
      <c r="M44" s="9">
        <v>1.3111111111111111</v>
      </c>
      <c r="N44" s="7">
        <v>31.467</v>
      </c>
      <c r="O44" s="9">
        <v>1.3111111111111111</v>
      </c>
      <c r="P44" s="7">
        <v>17.0</v>
      </c>
      <c r="Q44" s="7">
        <v>6.0</v>
      </c>
      <c r="R44" s="7">
        <v>13.0</v>
      </c>
      <c r="S44" s="7">
        <v>1.0</v>
      </c>
      <c r="T44" s="7">
        <v>11.0</v>
      </c>
      <c r="U44" s="7">
        <v>2.0</v>
      </c>
      <c r="V44" s="7">
        <v>2.0</v>
      </c>
      <c r="W44" s="7">
        <v>7.0</v>
      </c>
      <c r="X44" s="7">
        <v>24.0</v>
      </c>
      <c r="Y44" s="7">
        <v>0.4615</v>
      </c>
      <c r="Z44" s="7">
        <v>0.0909</v>
      </c>
      <c r="AA44" s="7">
        <v>1.0</v>
      </c>
      <c r="AB44" s="7">
        <v>0.3125</v>
      </c>
      <c r="AC44" s="7">
        <v>0.3416</v>
      </c>
      <c r="AD44" s="7">
        <v>1.0</v>
      </c>
      <c r="AE44" s="7">
        <v>0.542</v>
      </c>
      <c r="AF44" s="7">
        <v>0.458</v>
      </c>
      <c r="AG44" s="7">
        <v>3.0</v>
      </c>
      <c r="AH44" s="7">
        <v>4.0</v>
      </c>
      <c r="AI44" s="7">
        <v>3.0</v>
      </c>
      <c r="AJ44" s="7">
        <v>5.0</v>
      </c>
      <c r="AK44" s="7">
        <v>0.0</v>
      </c>
      <c r="AL44" s="7">
        <v>5.0</v>
      </c>
      <c r="AM44" s="7">
        <v>0.067</v>
      </c>
      <c r="AN44" s="7">
        <v>0.0</v>
      </c>
      <c r="AO44" s="7">
        <v>3.0</v>
      </c>
      <c r="AP44" s="7">
        <v>0.349</v>
      </c>
      <c r="AQ44" s="7">
        <v>0.3267</v>
      </c>
      <c r="AR44" s="7">
        <v>0.9</v>
      </c>
      <c r="AS44" s="7">
        <v>0.94</v>
      </c>
      <c r="AT44" s="7">
        <v>70.0</v>
      </c>
      <c r="AU44" s="7">
        <v>200.117</v>
      </c>
      <c r="AV44" s="7">
        <v>78.0</v>
      </c>
      <c r="AW44" s="7">
        <v>24.0</v>
      </c>
      <c r="AX44" s="7">
        <v>20.0</v>
      </c>
      <c r="AY44" s="7">
        <v>19.45</v>
      </c>
      <c r="AZ44" s="7">
        <v>5.72</v>
      </c>
      <c r="BA44" s="7">
        <v>3.43</v>
      </c>
      <c r="BB44" s="7">
        <v>3.43</v>
      </c>
      <c r="BC44" s="7">
        <v>3.43</v>
      </c>
      <c r="BD44" s="7">
        <v>0.0</v>
      </c>
      <c r="BE44" s="7">
        <v>4.58</v>
      </c>
      <c r="BF44" s="7" t="s">
        <v>76</v>
      </c>
      <c r="BG44" s="10"/>
      <c r="BH44" s="12"/>
      <c r="BI44" s="12"/>
      <c r="BJ44" s="12">
        <f t="shared" si="1"/>
        <v>0.1076040172</v>
      </c>
      <c r="BK44" s="12">
        <f t="shared" si="2"/>
        <v>0.08333333333</v>
      </c>
      <c r="BL44" s="12">
        <f t="shared" si="3"/>
        <v>0.7083333333</v>
      </c>
      <c r="BM44" s="13">
        <f t="shared" si="4"/>
        <v>0.7058823529</v>
      </c>
      <c r="BN44" s="13">
        <f t="shared" si="5"/>
        <v>0.1764705882</v>
      </c>
      <c r="BO44" s="12">
        <f t="shared" si="6"/>
        <v>0.1176470588</v>
      </c>
      <c r="BP44" s="14">
        <f t="shared" si="7"/>
        <v>1</v>
      </c>
    </row>
    <row r="45">
      <c r="A45" s="7" t="s">
        <v>123</v>
      </c>
      <c r="B45" s="7" t="s">
        <v>124</v>
      </c>
      <c r="C45" s="8">
        <v>46186.0</v>
      </c>
      <c r="D45" s="7" t="s">
        <v>125</v>
      </c>
      <c r="E45" s="7" t="s">
        <v>126</v>
      </c>
      <c r="F45" s="7" t="s">
        <v>127</v>
      </c>
      <c r="G45" s="7">
        <v>72.0</v>
      </c>
      <c r="H45" s="7">
        <v>85.0</v>
      </c>
      <c r="I45" s="7">
        <v>11.0</v>
      </c>
      <c r="J45" s="7" t="s">
        <v>133</v>
      </c>
      <c r="K45" s="7" t="b">
        <v>1</v>
      </c>
      <c r="L45" s="2">
        <v>5.267</v>
      </c>
      <c r="M45" s="9">
        <v>0.21944444444444444</v>
      </c>
      <c r="N45" s="7">
        <v>5.267</v>
      </c>
      <c r="O45" s="15">
        <v>0.21944444444444444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AD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1.0</v>
      </c>
      <c r="AO45" s="7">
        <v>0.0</v>
      </c>
      <c r="AP45" s="7">
        <v>0.0</v>
      </c>
      <c r="AQ45" s="7">
        <v>0.0</v>
      </c>
      <c r="AR45" s="7">
        <v>0.58</v>
      </c>
      <c r="AS45" s="7">
        <v>0.91</v>
      </c>
      <c r="AT45" s="7">
        <v>12.0</v>
      </c>
      <c r="AU45" s="7">
        <v>200.117</v>
      </c>
      <c r="AV45" s="7">
        <v>78.0</v>
      </c>
      <c r="AW45" s="7">
        <v>24.0</v>
      </c>
      <c r="AX45" s="7">
        <v>20.0</v>
      </c>
      <c r="AY45" s="7">
        <v>0.0</v>
      </c>
      <c r="AZ45" s="7">
        <v>0.0</v>
      </c>
      <c r="BA45" s="7">
        <v>0.0</v>
      </c>
      <c r="BB45" s="7">
        <v>0.0</v>
      </c>
      <c r="BC45" s="7">
        <v>0.0</v>
      </c>
      <c r="BD45" s="7">
        <v>6.84</v>
      </c>
      <c r="BE45" s="7">
        <v>0.0</v>
      </c>
      <c r="BG45" s="10"/>
      <c r="BH45" s="12"/>
      <c r="BI45" s="12"/>
      <c r="BJ45" s="12" t="str">
        <f t="shared" si="1"/>
        <v/>
      </c>
      <c r="BK45" s="12" t="str">
        <f t="shared" si="2"/>
        <v/>
      </c>
      <c r="BL45" s="12" t="str">
        <f t="shared" si="3"/>
        <v/>
      </c>
      <c r="BM45" s="13" t="str">
        <f t="shared" si="4"/>
        <v/>
      </c>
      <c r="BN45" s="13" t="str">
        <f t="shared" si="5"/>
        <v/>
      </c>
      <c r="BO45" s="12" t="str">
        <f t="shared" si="6"/>
        <v/>
      </c>
      <c r="BP45" s="14" t="str">
        <f t="shared" si="7"/>
        <v/>
      </c>
    </row>
    <row r="46">
      <c r="A46" s="7" t="s">
        <v>123</v>
      </c>
      <c r="B46" s="7" t="s">
        <v>124</v>
      </c>
      <c r="C46" s="8">
        <v>46186.0</v>
      </c>
      <c r="D46" s="7" t="s">
        <v>125</v>
      </c>
      <c r="E46" s="7" t="s">
        <v>126</v>
      </c>
      <c r="F46" s="7" t="s">
        <v>127</v>
      </c>
      <c r="G46" s="7">
        <v>72.0</v>
      </c>
      <c r="H46" s="7">
        <v>85.0</v>
      </c>
      <c r="I46" s="7">
        <v>22.0</v>
      </c>
      <c r="J46" s="7" t="s">
        <v>134</v>
      </c>
      <c r="K46" s="7" t="b">
        <v>0</v>
      </c>
      <c r="L46" s="2">
        <v>14.867</v>
      </c>
      <c r="M46" s="9">
        <v>0.6194444444444445</v>
      </c>
      <c r="N46" s="7">
        <v>14.867</v>
      </c>
      <c r="O46" s="15">
        <v>0.6194444444444445</v>
      </c>
      <c r="P46" s="7">
        <v>6.0</v>
      </c>
      <c r="Q46" s="7">
        <v>3.0</v>
      </c>
      <c r="R46" s="7">
        <v>4.0</v>
      </c>
      <c r="S46" s="7">
        <v>0.0</v>
      </c>
      <c r="T46" s="7">
        <v>2.0</v>
      </c>
      <c r="U46" s="7">
        <v>0.0</v>
      </c>
      <c r="V46" s="7">
        <v>0.0</v>
      </c>
      <c r="W46" s="7">
        <v>3.0</v>
      </c>
      <c r="X46" s="7">
        <v>6.0</v>
      </c>
      <c r="Y46" s="7">
        <v>0.75</v>
      </c>
      <c r="Z46" s="7">
        <v>0.0</v>
      </c>
      <c r="AB46" s="7">
        <v>0.5</v>
      </c>
      <c r="AC46" s="7">
        <v>0.5</v>
      </c>
      <c r="AD46" s="7">
        <v>0.0</v>
      </c>
      <c r="AE46" s="7">
        <v>0.667</v>
      </c>
      <c r="AF46" s="7">
        <v>0.333</v>
      </c>
      <c r="AG46" s="7">
        <v>0.0</v>
      </c>
      <c r="AH46" s="7">
        <v>1.0</v>
      </c>
      <c r="AI46" s="7">
        <v>2.0</v>
      </c>
      <c r="AJ46" s="7">
        <v>5.0</v>
      </c>
      <c r="AK46" s="7">
        <v>2.0</v>
      </c>
      <c r="AL46" s="7">
        <v>3.0</v>
      </c>
      <c r="AM46" s="7">
        <v>0.119</v>
      </c>
      <c r="AN46" s="7">
        <v>0.0</v>
      </c>
      <c r="AO46" s="7">
        <v>0.0</v>
      </c>
      <c r="AP46" s="7">
        <v>0.188</v>
      </c>
      <c r="AQ46" s="7">
        <v>0.1984</v>
      </c>
      <c r="AR46" s="7">
        <v>0.6</v>
      </c>
      <c r="AS46" s="7">
        <v>1.06</v>
      </c>
      <c r="AT46" s="7">
        <v>35.0</v>
      </c>
      <c r="AU46" s="7">
        <v>200.117</v>
      </c>
      <c r="AV46" s="7">
        <v>78.0</v>
      </c>
      <c r="AW46" s="7">
        <v>24.0</v>
      </c>
      <c r="AX46" s="7">
        <v>20.0</v>
      </c>
      <c r="AY46" s="7">
        <v>14.53</v>
      </c>
      <c r="AZ46" s="7">
        <v>12.11</v>
      </c>
      <c r="BA46" s="7">
        <v>0.0</v>
      </c>
      <c r="BB46" s="7">
        <v>4.84</v>
      </c>
      <c r="BC46" s="7">
        <v>0.0</v>
      </c>
      <c r="BD46" s="7">
        <v>0.0</v>
      </c>
      <c r="BE46" s="7">
        <v>2.42</v>
      </c>
      <c r="BF46" s="7" t="s">
        <v>79</v>
      </c>
      <c r="BG46" s="10"/>
      <c r="BH46" s="12"/>
      <c r="BI46" s="12"/>
      <c r="BJ46" s="12">
        <f t="shared" si="1"/>
        <v>0.25</v>
      </c>
      <c r="BK46" s="12">
        <f t="shared" si="2"/>
        <v>0</v>
      </c>
      <c r="BL46" s="12">
        <f t="shared" si="3"/>
        <v>1</v>
      </c>
      <c r="BM46" s="13">
        <f t="shared" si="4"/>
        <v>1</v>
      </c>
      <c r="BN46" s="13">
        <f t="shared" si="5"/>
        <v>0</v>
      </c>
      <c r="BO46" s="12">
        <f t="shared" si="6"/>
        <v>0</v>
      </c>
      <c r="BP46" s="14">
        <f t="shared" si="7"/>
        <v>0</v>
      </c>
    </row>
    <row r="47">
      <c r="A47" s="7" t="s">
        <v>123</v>
      </c>
      <c r="B47" s="7" t="s">
        <v>124</v>
      </c>
      <c r="C47" s="8">
        <v>46186.0</v>
      </c>
      <c r="D47" s="7" t="s">
        <v>125</v>
      </c>
      <c r="E47" s="7" t="s">
        <v>126</v>
      </c>
      <c r="F47" s="7" t="s">
        <v>127</v>
      </c>
      <c r="G47" s="7">
        <v>72.0</v>
      </c>
      <c r="H47" s="7">
        <v>85.0</v>
      </c>
      <c r="I47" s="7">
        <v>24.0</v>
      </c>
      <c r="J47" s="7" t="s">
        <v>135</v>
      </c>
      <c r="K47" s="7" t="b">
        <v>1</v>
      </c>
      <c r="L47" s="2">
        <v>31.817</v>
      </c>
      <c r="M47" s="9">
        <v>1.3256944444444445</v>
      </c>
      <c r="N47" s="7">
        <v>31.817</v>
      </c>
      <c r="O47" s="9">
        <v>1.3256944444444445</v>
      </c>
      <c r="P47" s="7">
        <v>22.0</v>
      </c>
      <c r="Q47" s="7">
        <v>2.0</v>
      </c>
      <c r="R47" s="7">
        <v>4.0</v>
      </c>
      <c r="S47" s="7">
        <v>3.0</v>
      </c>
      <c r="T47" s="7">
        <v>11.0</v>
      </c>
      <c r="U47" s="7">
        <v>9.0</v>
      </c>
      <c r="V47" s="7">
        <v>16.0</v>
      </c>
      <c r="W47" s="7">
        <v>5.0</v>
      </c>
      <c r="X47" s="7">
        <v>15.0</v>
      </c>
      <c r="Y47" s="7">
        <v>0.5</v>
      </c>
      <c r="Z47" s="7">
        <v>0.2727</v>
      </c>
      <c r="AA47" s="7">
        <v>0.5625</v>
      </c>
      <c r="AB47" s="7">
        <v>0.4333</v>
      </c>
      <c r="AC47" s="7">
        <v>0.4991</v>
      </c>
      <c r="AD47" s="7">
        <v>8.0</v>
      </c>
      <c r="AE47" s="7">
        <v>0.267</v>
      </c>
      <c r="AF47" s="7">
        <v>0.733</v>
      </c>
      <c r="AG47" s="7">
        <v>3.0</v>
      </c>
      <c r="AH47" s="7">
        <v>2.0</v>
      </c>
      <c r="AI47" s="7">
        <v>5.0</v>
      </c>
      <c r="AJ47" s="7">
        <v>4.0</v>
      </c>
      <c r="AK47" s="7">
        <v>1.0</v>
      </c>
      <c r="AL47" s="7">
        <v>3.0</v>
      </c>
      <c r="AM47" s="7">
        <v>0.05</v>
      </c>
      <c r="AN47" s="7">
        <v>0.0</v>
      </c>
      <c r="AO47" s="7">
        <v>1.0</v>
      </c>
      <c r="AP47" s="7">
        <v>0.407</v>
      </c>
      <c r="AQ47" s="7">
        <v>0.3133</v>
      </c>
      <c r="AR47" s="7">
        <v>0.84</v>
      </c>
      <c r="AS47" s="7">
        <v>0.87</v>
      </c>
      <c r="AT47" s="7">
        <v>70.0</v>
      </c>
      <c r="AU47" s="7">
        <v>200.117</v>
      </c>
      <c r="AV47" s="7">
        <v>78.0</v>
      </c>
      <c r="AW47" s="7">
        <v>24.0</v>
      </c>
      <c r="AX47" s="7">
        <v>20.0</v>
      </c>
      <c r="AY47" s="7">
        <v>24.89</v>
      </c>
      <c r="AZ47" s="7">
        <v>4.53</v>
      </c>
      <c r="BA47" s="7">
        <v>3.39</v>
      </c>
      <c r="BB47" s="7">
        <v>5.66</v>
      </c>
      <c r="BC47" s="7">
        <v>1.13</v>
      </c>
      <c r="BD47" s="7">
        <v>0.0</v>
      </c>
      <c r="BE47" s="7">
        <v>2.26</v>
      </c>
      <c r="BF47" s="7" t="s">
        <v>76</v>
      </c>
      <c r="BG47" s="10"/>
      <c r="BH47" s="12"/>
      <c r="BI47" s="12"/>
      <c r="BJ47" s="12">
        <f t="shared" si="1"/>
        <v>0.1849112426</v>
      </c>
      <c r="BK47" s="12">
        <f t="shared" si="2"/>
        <v>1.066666667</v>
      </c>
      <c r="BL47" s="12">
        <f t="shared" si="3"/>
        <v>1.466666667</v>
      </c>
      <c r="BM47" s="13">
        <f t="shared" si="4"/>
        <v>0.1818181818</v>
      </c>
      <c r="BN47" s="13">
        <f t="shared" si="5"/>
        <v>0.4090909091</v>
      </c>
      <c r="BO47" s="12">
        <f t="shared" si="6"/>
        <v>0.4090909091</v>
      </c>
      <c r="BP47" s="14">
        <f t="shared" si="7"/>
        <v>0.6</v>
      </c>
    </row>
    <row r="48">
      <c r="A48" s="7" t="s">
        <v>123</v>
      </c>
      <c r="B48" s="7" t="s">
        <v>124</v>
      </c>
      <c r="C48" s="8">
        <v>46186.0</v>
      </c>
      <c r="D48" s="7" t="s">
        <v>125</v>
      </c>
      <c r="E48" s="7" t="s">
        <v>126</v>
      </c>
      <c r="F48" s="7" t="s">
        <v>127</v>
      </c>
      <c r="G48" s="7">
        <v>72.0</v>
      </c>
      <c r="H48" s="7">
        <v>85.0</v>
      </c>
      <c r="I48" s="7">
        <v>31.0</v>
      </c>
      <c r="J48" s="7" t="s">
        <v>136</v>
      </c>
      <c r="K48" s="7" t="b">
        <v>1</v>
      </c>
      <c r="L48" s="2">
        <v>27.017</v>
      </c>
      <c r="M48" s="9">
        <v>1.1256944444444446</v>
      </c>
      <c r="N48" s="7">
        <v>27.017</v>
      </c>
      <c r="O48" s="9">
        <v>1.1256944444444446</v>
      </c>
      <c r="P48" s="7">
        <v>5.0</v>
      </c>
      <c r="Q48" s="7">
        <v>0.0</v>
      </c>
      <c r="R48" s="7">
        <v>1.0</v>
      </c>
      <c r="S48" s="7">
        <v>1.0</v>
      </c>
      <c r="T48" s="7">
        <v>5.0</v>
      </c>
      <c r="U48" s="7">
        <v>2.0</v>
      </c>
      <c r="V48" s="7">
        <v>4.0</v>
      </c>
      <c r="W48" s="7">
        <v>1.0</v>
      </c>
      <c r="X48" s="7">
        <v>6.0</v>
      </c>
      <c r="Y48" s="7">
        <v>0.0</v>
      </c>
      <c r="Z48" s="7">
        <v>0.2</v>
      </c>
      <c r="AA48" s="7">
        <v>0.5</v>
      </c>
      <c r="AB48" s="7">
        <v>0.25</v>
      </c>
      <c r="AC48" s="7">
        <v>0.3222</v>
      </c>
      <c r="AD48" s="7">
        <v>2.0</v>
      </c>
      <c r="AE48" s="7">
        <v>0.167</v>
      </c>
      <c r="AF48" s="7">
        <v>0.833</v>
      </c>
      <c r="AG48" s="7">
        <v>1.0</v>
      </c>
      <c r="AH48" s="7">
        <v>1.0</v>
      </c>
      <c r="AI48" s="7">
        <v>2.0</v>
      </c>
      <c r="AJ48" s="7">
        <v>10.0</v>
      </c>
      <c r="AK48" s="7">
        <v>6.0</v>
      </c>
      <c r="AL48" s="7">
        <v>4.0</v>
      </c>
      <c r="AM48" s="7">
        <v>0.149</v>
      </c>
      <c r="AN48" s="7">
        <v>0.0</v>
      </c>
      <c r="AO48" s="7">
        <v>1.0</v>
      </c>
      <c r="AP48" s="7">
        <v>0.156</v>
      </c>
      <c r="AQ48" s="7">
        <v>0.1332</v>
      </c>
      <c r="AR48" s="7">
        <v>0.72</v>
      </c>
      <c r="AS48" s="7">
        <v>0.93</v>
      </c>
      <c r="AT48" s="7">
        <v>61.0</v>
      </c>
      <c r="AU48" s="7">
        <v>200.117</v>
      </c>
      <c r="AV48" s="7">
        <v>78.0</v>
      </c>
      <c r="AW48" s="7">
        <v>24.0</v>
      </c>
      <c r="AX48" s="7">
        <v>20.0</v>
      </c>
      <c r="AY48" s="7">
        <v>6.66</v>
      </c>
      <c r="AZ48" s="7">
        <v>13.33</v>
      </c>
      <c r="BA48" s="7">
        <v>1.33</v>
      </c>
      <c r="BB48" s="7">
        <v>2.67</v>
      </c>
      <c r="BC48" s="7">
        <v>1.33</v>
      </c>
      <c r="BD48" s="7">
        <v>0.0</v>
      </c>
      <c r="BE48" s="7">
        <v>1.33</v>
      </c>
      <c r="BF48" s="7" t="s">
        <v>88</v>
      </c>
      <c r="BG48" s="10"/>
      <c r="BH48" s="12"/>
      <c r="BI48" s="12"/>
      <c r="BJ48" s="12">
        <f t="shared" si="1"/>
        <v>0.2049180328</v>
      </c>
      <c r="BK48" s="12">
        <f t="shared" si="2"/>
        <v>0.6666666667</v>
      </c>
      <c r="BL48" s="12">
        <f t="shared" si="3"/>
        <v>0.8333333333</v>
      </c>
      <c r="BM48" s="13">
        <f t="shared" si="4"/>
        <v>0</v>
      </c>
      <c r="BN48" s="13">
        <f t="shared" si="5"/>
        <v>0.6</v>
      </c>
      <c r="BO48" s="12">
        <f t="shared" si="6"/>
        <v>0.4</v>
      </c>
      <c r="BP48" s="14">
        <f t="shared" si="7"/>
        <v>0.5</v>
      </c>
    </row>
    <row r="49">
      <c r="A49" s="7" t="s">
        <v>123</v>
      </c>
      <c r="B49" s="7" t="s">
        <v>124</v>
      </c>
      <c r="C49" s="8">
        <v>46186.0</v>
      </c>
      <c r="D49" s="7" t="s">
        <v>125</v>
      </c>
      <c r="E49" s="7" t="s">
        <v>126</v>
      </c>
      <c r="F49" s="7" t="s">
        <v>127</v>
      </c>
      <c r="G49" s="7">
        <v>72.0</v>
      </c>
      <c r="H49" s="7">
        <v>85.0</v>
      </c>
      <c r="I49" s="7">
        <v>34.0</v>
      </c>
      <c r="J49" s="7" t="s">
        <v>137</v>
      </c>
      <c r="K49" s="7" t="b">
        <v>0</v>
      </c>
      <c r="L49" s="2">
        <v>13.433</v>
      </c>
      <c r="M49" s="9">
        <v>0.5597222222222222</v>
      </c>
      <c r="N49" s="7">
        <v>13.433</v>
      </c>
      <c r="O49" s="15">
        <v>0.5597222222222222</v>
      </c>
      <c r="P49" s="7">
        <v>2.0</v>
      </c>
      <c r="Q49" s="7">
        <v>1.0</v>
      </c>
      <c r="R49" s="7">
        <v>6.0</v>
      </c>
      <c r="S49" s="7">
        <v>0.0</v>
      </c>
      <c r="T49" s="7">
        <v>0.0</v>
      </c>
      <c r="U49" s="7">
        <v>0.0</v>
      </c>
      <c r="V49" s="7">
        <v>0.0</v>
      </c>
      <c r="W49" s="7">
        <v>1.0</v>
      </c>
      <c r="X49" s="7">
        <v>6.0</v>
      </c>
      <c r="Y49" s="7">
        <v>0.1667</v>
      </c>
      <c r="AB49" s="7">
        <v>0.1667</v>
      </c>
      <c r="AC49" s="7">
        <v>0.1667</v>
      </c>
      <c r="AD49" s="7">
        <v>0.0</v>
      </c>
      <c r="AE49" s="7">
        <v>1.0</v>
      </c>
      <c r="AF49" s="7">
        <v>0.0</v>
      </c>
      <c r="AG49" s="7">
        <v>0.0</v>
      </c>
      <c r="AH49" s="7">
        <v>2.0</v>
      </c>
      <c r="AI49" s="7">
        <v>0.0</v>
      </c>
      <c r="AJ49" s="7">
        <v>5.0</v>
      </c>
      <c r="AK49" s="7">
        <v>3.0</v>
      </c>
      <c r="AL49" s="7">
        <v>2.0</v>
      </c>
      <c r="AM49" s="7">
        <v>0.139</v>
      </c>
      <c r="AN49" s="7">
        <v>0.0</v>
      </c>
      <c r="AO49" s="7">
        <v>0.0</v>
      </c>
      <c r="AP49" s="7">
        <v>0.171</v>
      </c>
      <c r="AQ49" s="7">
        <v>0.1647</v>
      </c>
      <c r="AR49" s="7">
        <v>0.9</v>
      </c>
      <c r="AS49" s="7">
        <v>0.93</v>
      </c>
      <c r="AT49" s="7">
        <v>31.0</v>
      </c>
      <c r="AU49" s="7">
        <v>200.117</v>
      </c>
      <c r="AV49" s="7">
        <v>78.0</v>
      </c>
      <c r="AW49" s="7">
        <v>24.0</v>
      </c>
      <c r="AX49" s="7">
        <v>20.0</v>
      </c>
      <c r="AY49" s="7">
        <v>5.36</v>
      </c>
      <c r="AZ49" s="7">
        <v>13.4</v>
      </c>
      <c r="BA49" s="7">
        <v>0.0</v>
      </c>
      <c r="BB49" s="7">
        <v>0.0</v>
      </c>
      <c r="BC49" s="7">
        <v>0.0</v>
      </c>
      <c r="BD49" s="7">
        <v>0.0</v>
      </c>
      <c r="BE49" s="7">
        <v>5.36</v>
      </c>
      <c r="BF49" s="7" t="s">
        <v>79</v>
      </c>
      <c r="BG49" s="10"/>
      <c r="BH49" s="12"/>
      <c r="BI49" s="12"/>
      <c r="BJ49" s="12">
        <f t="shared" si="1"/>
        <v>0</v>
      </c>
      <c r="BK49" s="12">
        <f t="shared" si="2"/>
        <v>0</v>
      </c>
      <c r="BL49" s="12">
        <f t="shared" si="3"/>
        <v>0.3333333333</v>
      </c>
      <c r="BM49" s="13">
        <f t="shared" si="4"/>
        <v>1</v>
      </c>
      <c r="BN49" s="13">
        <f t="shared" si="5"/>
        <v>0</v>
      </c>
      <c r="BO49" s="12">
        <f t="shared" si="6"/>
        <v>0</v>
      </c>
      <c r="BP49" s="14" t="str">
        <f t="shared" si="7"/>
        <v/>
      </c>
    </row>
    <row r="50">
      <c r="A50" s="7" t="s">
        <v>123</v>
      </c>
      <c r="B50" s="7" t="s">
        <v>124</v>
      </c>
      <c r="C50" s="8">
        <v>46186.0</v>
      </c>
      <c r="D50" s="7" t="s">
        <v>125</v>
      </c>
      <c r="E50" s="7" t="s">
        <v>127</v>
      </c>
      <c r="F50" s="7" t="s">
        <v>126</v>
      </c>
      <c r="G50" s="7">
        <v>85.0</v>
      </c>
      <c r="H50" s="7">
        <v>72.0</v>
      </c>
      <c r="I50" s="7">
        <v>0.0</v>
      </c>
      <c r="J50" s="7" t="s">
        <v>138</v>
      </c>
      <c r="K50" s="7" t="b">
        <v>0</v>
      </c>
      <c r="L50" s="2">
        <v>20.683</v>
      </c>
      <c r="M50" s="9">
        <v>0.8618055555555556</v>
      </c>
      <c r="N50" s="7">
        <v>20.683</v>
      </c>
      <c r="O50" s="15">
        <v>0.8618055555555556</v>
      </c>
      <c r="P50" s="7">
        <v>13.0</v>
      </c>
      <c r="Q50" s="7">
        <v>2.0</v>
      </c>
      <c r="R50" s="7">
        <v>3.0</v>
      </c>
      <c r="S50" s="7">
        <v>3.0</v>
      </c>
      <c r="T50" s="7">
        <v>4.0</v>
      </c>
      <c r="U50" s="7">
        <v>0.0</v>
      </c>
      <c r="V50" s="7">
        <v>1.0</v>
      </c>
      <c r="W50" s="7">
        <v>5.0</v>
      </c>
      <c r="X50" s="7">
        <v>7.0</v>
      </c>
      <c r="Y50" s="7">
        <v>0.6667</v>
      </c>
      <c r="Z50" s="7">
        <v>0.75</v>
      </c>
      <c r="AA50" s="7">
        <v>0.0</v>
      </c>
      <c r="AB50" s="7">
        <v>0.9286</v>
      </c>
      <c r="AC50" s="7">
        <v>0.8737</v>
      </c>
      <c r="AD50" s="7">
        <v>0.0</v>
      </c>
      <c r="AE50" s="7">
        <v>0.429</v>
      </c>
      <c r="AF50" s="7">
        <v>0.571</v>
      </c>
      <c r="AG50" s="7">
        <v>4.0</v>
      </c>
      <c r="AH50" s="7">
        <v>3.0</v>
      </c>
      <c r="AI50" s="7">
        <v>1.0</v>
      </c>
      <c r="AJ50" s="7">
        <v>1.0</v>
      </c>
      <c r="AK50" s="7">
        <v>1.0</v>
      </c>
      <c r="AL50" s="7">
        <v>0.0</v>
      </c>
      <c r="AM50" s="7">
        <v>0.018</v>
      </c>
      <c r="AN50" s="7">
        <v>0.0</v>
      </c>
      <c r="AO50" s="7">
        <v>4.0</v>
      </c>
      <c r="AP50" s="7">
        <v>0.208</v>
      </c>
      <c r="AQ50" s="7">
        <v>0.1675</v>
      </c>
      <c r="AR50" s="7">
        <v>1.07</v>
      </c>
      <c r="AS50" s="7">
        <v>0.78</v>
      </c>
      <c r="AT50" s="7">
        <v>43.0</v>
      </c>
      <c r="AU50" s="7">
        <v>200.117</v>
      </c>
      <c r="AV50" s="7">
        <v>80.0</v>
      </c>
      <c r="AW50" s="7">
        <v>17.0</v>
      </c>
      <c r="AX50" s="7">
        <v>10.0</v>
      </c>
      <c r="AY50" s="7">
        <v>22.63</v>
      </c>
      <c r="AZ50" s="7">
        <v>1.74</v>
      </c>
      <c r="BA50" s="7">
        <v>6.96</v>
      </c>
      <c r="BB50" s="7">
        <v>1.74</v>
      </c>
      <c r="BC50" s="7">
        <v>6.96</v>
      </c>
      <c r="BD50" s="7">
        <v>0.0</v>
      </c>
      <c r="BE50" s="7">
        <v>5.22</v>
      </c>
      <c r="BF50" s="7" t="s">
        <v>84</v>
      </c>
      <c r="BG50" s="10"/>
      <c r="BH50" s="12"/>
      <c r="BI50" s="12"/>
      <c r="BJ50" s="12">
        <f t="shared" si="1"/>
        <v>0.1184834123</v>
      </c>
      <c r="BK50" s="12">
        <f t="shared" si="2"/>
        <v>0.1428571429</v>
      </c>
      <c r="BL50" s="12">
        <f t="shared" si="3"/>
        <v>1.857142857</v>
      </c>
      <c r="BM50" s="13">
        <f t="shared" si="4"/>
        <v>0.3076923077</v>
      </c>
      <c r="BN50" s="13">
        <f t="shared" si="5"/>
        <v>0.6923076923</v>
      </c>
      <c r="BO50" s="12">
        <f t="shared" si="6"/>
        <v>0</v>
      </c>
      <c r="BP50" s="14">
        <f t="shared" si="7"/>
        <v>4</v>
      </c>
    </row>
    <row r="51">
      <c r="A51" s="7" t="s">
        <v>123</v>
      </c>
      <c r="B51" s="7" t="s">
        <v>124</v>
      </c>
      <c r="C51" s="8">
        <v>46186.0</v>
      </c>
      <c r="D51" s="7" t="s">
        <v>125</v>
      </c>
      <c r="E51" s="7" t="s">
        <v>127</v>
      </c>
      <c r="F51" s="7" t="s">
        <v>126</v>
      </c>
      <c r="G51" s="7">
        <v>85.0</v>
      </c>
      <c r="H51" s="7">
        <v>72.0</v>
      </c>
      <c r="I51" s="7">
        <v>1.0</v>
      </c>
      <c r="J51" s="7" t="s">
        <v>139</v>
      </c>
      <c r="K51" s="7" t="b">
        <v>1</v>
      </c>
      <c r="L51" s="2">
        <v>36.883</v>
      </c>
      <c r="M51" s="9">
        <v>1.5368055555555555</v>
      </c>
      <c r="N51" s="7">
        <v>36.883</v>
      </c>
      <c r="O51" s="9">
        <v>1.5368055555555555</v>
      </c>
      <c r="P51" s="7">
        <v>13.0</v>
      </c>
      <c r="Q51" s="7">
        <v>3.0</v>
      </c>
      <c r="R51" s="7">
        <v>6.0</v>
      </c>
      <c r="S51" s="7">
        <v>2.0</v>
      </c>
      <c r="T51" s="7">
        <v>3.0</v>
      </c>
      <c r="U51" s="7">
        <v>1.0</v>
      </c>
      <c r="V51" s="7">
        <v>2.0</v>
      </c>
      <c r="W51" s="7">
        <v>5.0</v>
      </c>
      <c r="X51" s="7">
        <v>9.0</v>
      </c>
      <c r="Y51" s="7">
        <v>0.5</v>
      </c>
      <c r="Z51" s="7">
        <v>0.6667</v>
      </c>
      <c r="AA51" s="7">
        <v>0.5</v>
      </c>
      <c r="AB51" s="7">
        <v>0.6667</v>
      </c>
      <c r="AC51" s="7">
        <v>0.6579</v>
      </c>
      <c r="AD51" s="7">
        <v>1.0</v>
      </c>
      <c r="AE51" s="7">
        <v>0.667</v>
      </c>
      <c r="AF51" s="7">
        <v>0.333</v>
      </c>
      <c r="AG51" s="7">
        <v>5.0</v>
      </c>
      <c r="AH51" s="7">
        <v>5.0</v>
      </c>
      <c r="AI51" s="7">
        <v>1.0</v>
      </c>
      <c r="AJ51" s="7">
        <v>1.0</v>
      </c>
      <c r="AK51" s="7">
        <v>0.0</v>
      </c>
      <c r="AL51" s="7">
        <v>1.0</v>
      </c>
      <c r="AM51" s="7">
        <v>0.011</v>
      </c>
      <c r="AN51" s="7">
        <v>0.0</v>
      </c>
      <c r="AO51" s="7">
        <v>1.0</v>
      </c>
      <c r="AP51" s="7">
        <v>0.143</v>
      </c>
      <c r="AQ51" s="7">
        <v>0.1211</v>
      </c>
      <c r="AR51" s="7">
        <v>1.0</v>
      </c>
      <c r="AS51" s="7">
        <v>0.84</v>
      </c>
      <c r="AT51" s="7">
        <v>79.0</v>
      </c>
      <c r="AU51" s="7">
        <v>200.117</v>
      </c>
      <c r="AV51" s="7">
        <v>80.0</v>
      </c>
      <c r="AW51" s="7">
        <v>17.0</v>
      </c>
      <c r="AX51" s="7">
        <v>10.0</v>
      </c>
      <c r="AY51" s="7">
        <v>12.69</v>
      </c>
      <c r="AZ51" s="7">
        <v>0.98</v>
      </c>
      <c r="BA51" s="7">
        <v>4.88</v>
      </c>
      <c r="BB51" s="7">
        <v>0.98</v>
      </c>
      <c r="BC51" s="7">
        <v>0.98</v>
      </c>
      <c r="BD51" s="7">
        <v>0.0</v>
      </c>
      <c r="BE51" s="7">
        <v>4.88</v>
      </c>
      <c r="BF51" s="7" t="s">
        <v>76</v>
      </c>
      <c r="BG51" s="10"/>
      <c r="BH51" s="12"/>
      <c r="BI51" s="12"/>
      <c r="BJ51" s="12">
        <f t="shared" si="1"/>
        <v>0.09191176471</v>
      </c>
      <c r="BK51" s="12">
        <f t="shared" si="2"/>
        <v>0.2222222222</v>
      </c>
      <c r="BL51" s="12">
        <f t="shared" si="3"/>
        <v>1.444444444</v>
      </c>
      <c r="BM51" s="13">
        <f t="shared" si="4"/>
        <v>0.4615384615</v>
      </c>
      <c r="BN51" s="13">
        <f t="shared" si="5"/>
        <v>0.4615384615</v>
      </c>
      <c r="BO51" s="12">
        <f t="shared" si="6"/>
        <v>0.07692307692</v>
      </c>
      <c r="BP51" s="14">
        <f t="shared" si="7"/>
        <v>5</v>
      </c>
    </row>
    <row r="52">
      <c r="A52" s="7" t="s">
        <v>123</v>
      </c>
      <c r="B52" s="7" t="s">
        <v>124</v>
      </c>
      <c r="C52" s="8">
        <v>46186.0</v>
      </c>
      <c r="D52" s="7" t="s">
        <v>125</v>
      </c>
      <c r="E52" s="7" t="s">
        <v>127</v>
      </c>
      <c r="F52" s="7" t="s">
        <v>126</v>
      </c>
      <c r="G52" s="7">
        <v>85.0</v>
      </c>
      <c r="H52" s="7">
        <v>72.0</v>
      </c>
      <c r="I52" s="7">
        <v>2.0</v>
      </c>
      <c r="J52" s="7" t="s">
        <v>140</v>
      </c>
      <c r="K52" s="7" t="b">
        <v>1</v>
      </c>
      <c r="L52" s="2">
        <v>29.417</v>
      </c>
      <c r="M52" s="9">
        <v>1.2256944444444444</v>
      </c>
      <c r="N52" s="7">
        <v>29.417</v>
      </c>
      <c r="O52" s="9">
        <v>1.2256944444444444</v>
      </c>
      <c r="P52" s="7">
        <v>18.0</v>
      </c>
      <c r="Q52" s="7">
        <v>6.0</v>
      </c>
      <c r="R52" s="7">
        <v>14.0</v>
      </c>
      <c r="S52" s="7">
        <v>0.0</v>
      </c>
      <c r="T52" s="7">
        <v>0.0</v>
      </c>
      <c r="U52" s="7">
        <v>6.0</v>
      </c>
      <c r="V52" s="7">
        <v>8.0</v>
      </c>
      <c r="W52" s="7">
        <v>6.0</v>
      </c>
      <c r="X52" s="7">
        <v>14.0</v>
      </c>
      <c r="Y52" s="7">
        <v>0.4286</v>
      </c>
      <c r="AA52" s="7">
        <v>0.75</v>
      </c>
      <c r="AB52" s="7">
        <v>0.4286</v>
      </c>
      <c r="AC52" s="7">
        <v>0.5137</v>
      </c>
      <c r="AD52" s="7">
        <v>1.0</v>
      </c>
      <c r="AE52" s="7">
        <v>1.0</v>
      </c>
      <c r="AF52" s="7">
        <v>0.0</v>
      </c>
      <c r="AG52" s="7">
        <v>0.0</v>
      </c>
      <c r="AH52" s="7">
        <v>3.0</v>
      </c>
      <c r="AI52" s="7">
        <v>2.0</v>
      </c>
      <c r="AJ52" s="7">
        <v>8.0</v>
      </c>
      <c r="AK52" s="7">
        <v>5.0</v>
      </c>
      <c r="AL52" s="7">
        <v>3.0</v>
      </c>
      <c r="AM52" s="7">
        <v>0.11</v>
      </c>
      <c r="AN52" s="7">
        <v>0.0</v>
      </c>
      <c r="AO52" s="7">
        <v>4.0</v>
      </c>
      <c r="AP52" s="7">
        <v>0.324</v>
      </c>
      <c r="AQ52" s="7">
        <v>0.2724</v>
      </c>
      <c r="AR52" s="7">
        <v>0.91</v>
      </c>
      <c r="AS52" s="7">
        <v>0.75</v>
      </c>
      <c r="AT52" s="7">
        <v>64.0</v>
      </c>
      <c r="AU52" s="7">
        <v>200.117</v>
      </c>
      <c r="AV52" s="7">
        <v>80.0</v>
      </c>
      <c r="AW52" s="7">
        <v>17.0</v>
      </c>
      <c r="AX52" s="7">
        <v>10.0</v>
      </c>
      <c r="AY52" s="7">
        <v>22.03</v>
      </c>
      <c r="AZ52" s="7">
        <v>9.79</v>
      </c>
      <c r="BA52" s="7">
        <v>0.0</v>
      </c>
      <c r="BB52" s="7">
        <v>2.45</v>
      </c>
      <c r="BC52" s="7">
        <v>4.9</v>
      </c>
      <c r="BD52" s="7">
        <v>0.0</v>
      </c>
      <c r="BE52" s="7">
        <v>3.67</v>
      </c>
      <c r="BF52" s="7" t="s">
        <v>86</v>
      </c>
      <c r="BG52" s="10"/>
      <c r="BH52" s="12"/>
      <c r="BI52" s="12"/>
      <c r="BJ52" s="12">
        <f t="shared" si="1"/>
        <v>0.1024590164</v>
      </c>
      <c r="BK52" s="12">
        <f t="shared" si="2"/>
        <v>0.5714285714</v>
      </c>
      <c r="BL52" s="12">
        <f t="shared" si="3"/>
        <v>1.285714286</v>
      </c>
      <c r="BM52" s="13">
        <f t="shared" si="4"/>
        <v>0.6666666667</v>
      </c>
      <c r="BN52" s="13">
        <f t="shared" si="5"/>
        <v>0</v>
      </c>
      <c r="BO52" s="12">
        <f t="shared" si="6"/>
        <v>0.3333333333</v>
      </c>
      <c r="BP52" s="14">
        <f t="shared" si="7"/>
        <v>0</v>
      </c>
    </row>
    <row r="53">
      <c r="A53" s="7" t="s">
        <v>123</v>
      </c>
      <c r="B53" s="7" t="s">
        <v>124</v>
      </c>
      <c r="C53" s="8">
        <v>46186.0</v>
      </c>
      <c r="D53" s="7" t="s">
        <v>125</v>
      </c>
      <c r="E53" s="7" t="s">
        <v>127</v>
      </c>
      <c r="F53" s="7" t="s">
        <v>126</v>
      </c>
      <c r="G53" s="7">
        <v>85.0</v>
      </c>
      <c r="H53" s="7">
        <v>72.0</v>
      </c>
      <c r="I53" s="7">
        <v>3.0</v>
      </c>
      <c r="J53" s="7" t="s">
        <v>141</v>
      </c>
      <c r="K53" s="7" t="b">
        <v>1</v>
      </c>
      <c r="L53" s="2">
        <v>33.533</v>
      </c>
      <c r="M53" s="9">
        <v>1.3972222222222221</v>
      </c>
      <c r="N53" s="7">
        <v>33.533</v>
      </c>
      <c r="O53" s="9">
        <v>1.3972222222222221</v>
      </c>
      <c r="P53" s="7">
        <v>8.0</v>
      </c>
      <c r="Q53" s="7">
        <v>1.0</v>
      </c>
      <c r="R53" s="7">
        <v>1.0</v>
      </c>
      <c r="S53" s="7">
        <v>2.0</v>
      </c>
      <c r="T53" s="7">
        <v>5.0</v>
      </c>
      <c r="U53" s="7">
        <v>0.0</v>
      </c>
      <c r="V53" s="7">
        <v>0.0</v>
      </c>
      <c r="W53" s="7">
        <v>3.0</v>
      </c>
      <c r="X53" s="7">
        <v>6.0</v>
      </c>
      <c r="Y53" s="7">
        <v>1.0</v>
      </c>
      <c r="Z53" s="7">
        <v>0.4</v>
      </c>
      <c r="AB53" s="7">
        <v>0.6667</v>
      </c>
      <c r="AC53" s="7">
        <v>0.6667</v>
      </c>
      <c r="AD53" s="7">
        <v>0.0</v>
      </c>
      <c r="AE53" s="7">
        <v>0.167</v>
      </c>
      <c r="AF53" s="7">
        <v>0.833</v>
      </c>
      <c r="AG53" s="7">
        <v>2.0</v>
      </c>
      <c r="AH53" s="7">
        <v>1.0</v>
      </c>
      <c r="AI53" s="7">
        <v>3.0</v>
      </c>
      <c r="AJ53" s="7">
        <v>5.0</v>
      </c>
      <c r="AK53" s="7">
        <v>0.0</v>
      </c>
      <c r="AL53" s="7">
        <v>5.0</v>
      </c>
      <c r="AM53" s="7">
        <v>0.056</v>
      </c>
      <c r="AN53" s="7">
        <v>2.0</v>
      </c>
      <c r="AO53" s="7">
        <v>2.0</v>
      </c>
      <c r="AP53" s="7">
        <v>0.106</v>
      </c>
      <c r="AQ53" s="7">
        <v>0.1102</v>
      </c>
      <c r="AR53" s="7">
        <v>0.91</v>
      </c>
      <c r="AS53" s="7">
        <v>0.76</v>
      </c>
      <c r="AT53" s="7">
        <v>75.0</v>
      </c>
      <c r="AU53" s="7">
        <v>200.117</v>
      </c>
      <c r="AV53" s="7">
        <v>80.0</v>
      </c>
      <c r="AW53" s="7">
        <v>17.0</v>
      </c>
      <c r="AX53" s="7">
        <v>10.0</v>
      </c>
      <c r="AY53" s="7">
        <v>8.59</v>
      </c>
      <c r="AZ53" s="7">
        <v>5.37</v>
      </c>
      <c r="BA53" s="7">
        <v>2.15</v>
      </c>
      <c r="BB53" s="7">
        <v>3.22</v>
      </c>
      <c r="BC53" s="7">
        <v>2.15</v>
      </c>
      <c r="BD53" s="7">
        <v>2.15</v>
      </c>
      <c r="BE53" s="7">
        <v>1.07</v>
      </c>
      <c r="BF53" s="7" t="s">
        <v>84</v>
      </c>
      <c r="BG53" s="10"/>
      <c r="BH53" s="12"/>
      <c r="BI53" s="12"/>
      <c r="BJ53" s="12">
        <f t="shared" si="1"/>
        <v>0.3333333333</v>
      </c>
      <c r="BK53" s="12">
        <f t="shared" si="2"/>
        <v>0</v>
      </c>
      <c r="BL53" s="12">
        <f t="shared" si="3"/>
        <v>1.333333333</v>
      </c>
      <c r="BM53" s="13">
        <f t="shared" si="4"/>
        <v>0.25</v>
      </c>
      <c r="BN53" s="13">
        <f t="shared" si="5"/>
        <v>0.75</v>
      </c>
      <c r="BO53" s="12">
        <f t="shared" si="6"/>
        <v>0</v>
      </c>
      <c r="BP53" s="14">
        <f t="shared" si="7"/>
        <v>0.6666666667</v>
      </c>
    </row>
    <row r="54">
      <c r="A54" s="7" t="s">
        <v>123</v>
      </c>
      <c r="B54" s="7" t="s">
        <v>124</v>
      </c>
      <c r="C54" s="8">
        <v>46186.0</v>
      </c>
      <c r="D54" s="7" t="s">
        <v>125</v>
      </c>
      <c r="E54" s="7" t="s">
        <v>127</v>
      </c>
      <c r="F54" s="7" t="s">
        <v>126</v>
      </c>
      <c r="G54" s="7">
        <v>85.0</v>
      </c>
      <c r="H54" s="7">
        <v>72.0</v>
      </c>
      <c r="I54" s="7">
        <v>5.0</v>
      </c>
      <c r="J54" s="7" t="s">
        <v>142</v>
      </c>
      <c r="K54" s="7" t="b">
        <v>1</v>
      </c>
      <c r="L54" s="2">
        <v>20.983</v>
      </c>
      <c r="M54" s="9">
        <v>0.8743055555555556</v>
      </c>
      <c r="N54" s="7">
        <v>20.983</v>
      </c>
      <c r="O54" s="15">
        <v>0.8743055555555556</v>
      </c>
      <c r="P54" s="7">
        <v>3.0</v>
      </c>
      <c r="Q54" s="7">
        <v>0.0</v>
      </c>
      <c r="R54" s="7">
        <v>3.0</v>
      </c>
      <c r="S54" s="7">
        <v>1.0</v>
      </c>
      <c r="T54" s="7">
        <v>5.0</v>
      </c>
      <c r="U54" s="7">
        <v>0.0</v>
      </c>
      <c r="V54" s="7">
        <v>0.0</v>
      </c>
      <c r="W54" s="7">
        <v>1.0</v>
      </c>
      <c r="X54" s="7">
        <v>8.0</v>
      </c>
      <c r="Y54" s="7">
        <v>0.0</v>
      </c>
      <c r="Z54" s="7">
        <v>0.2</v>
      </c>
      <c r="AB54" s="7">
        <v>0.1875</v>
      </c>
      <c r="AC54" s="7">
        <v>0.1875</v>
      </c>
      <c r="AD54" s="7">
        <v>0.0</v>
      </c>
      <c r="AE54" s="7">
        <v>0.375</v>
      </c>
      <c r="AF54" s="7">
        <v>0.625</v>
      </c>
      <c r="AG54" s="7">
        <v>6.0</v>
      </c>
      <c r="AH54" s="7">
        <v>2.0</v>
      </c>
      <c r="AI54" s="7">
        <v>1.0</v>
      </c>
      <c r="AJ54" s="7">
        <v>6.0</v>
      </c>
      <c r="AK54" s="7">
        <v>0.0</v>
      </c>
      <c r="AL54" s="7">
        <v>6.0</v>
      </c>
      <c r="AM54" s="7">
        <v>0.1</v>
      </c>
      <c r="AN54" s="7">
        <v>1.0</v>
      </c>
      <c r="AO54" s="7">
        <v>1.0</v>
      </c>
      <c r="AP54" s="7">
        <v>0.161</v>
      </c>
      <c r="AQ54" s="7">
        <v>0.1761</v>
      </c>
      <c r="AR54" s="7">
        <v>0.83</v>
      </c>
      <c r="AS54" s="7">
        <v>0.71</v>
      </c>
      <c r="AT54" s="7">
        <v>47.0</v>
      </c>
      <c r="AU54" s="7">
        <v>200.117</v>
      </c>
      <c r="AV54" s="7">
        <v>80.0</v>
      </c>
      <c r="AW54" s="7">
        <v>17.0</v>
      </c>
      <c r="AX54" s="7">
        <v>10.0</v>
      </c>
      <c r="AY54" s="7">
        <v>5.15</v>
      </c>
      <c r="AZ54" s="7">
        <v>10.29</v>
      </c>
      <c r="BA54" s="7">
        <v>10.29</v>
      </c>
      <c r="BB54" s="7">
        <v>1.72</v>
      </c>
      <c r="BC54" s="7">
        <v>1.72</v>
      </c>
      <c r="BD54" s="7">
        <v>1.72</v>
      </c>
      <c r="BE54" s="7">
        <v>3.43</v>
      </c>
      <c r="BF54" s="7" t="s">
        <v>103</v>
      </c>
      <c r="BG54" s="10"/>
      <c r="BH54" s="12"/>
      <c r="BI54" s="12"/>
      <c r="BJ54" s="12">
        <f t="shared" si="1"/>
        <v>0.1111111111</v>
      </c>
      <c r="BK54" s="12">
        <f t="shared" si="2"/>
        <v>0</v>
      </c>
      <c r="BL54" s="12">
        <f t="shared" si="3"/>
        <v>0.375</v>
      </c>
      <c r="BM54" s="13">
        <f t="shared" si="4"/>
        <v>0</v>
      </c>
      <c r="BN54" s="13">
        <f t="shared" si="5"/>
        <v>1</v>
      </c>
      <c r="BO54" s="12">
        <f t="shared" si="6"/>
        <v>0</v>
      </c>
      <c r="BP54" s="14">
        <f t="shared" si="7"/>
        <v>6</v>
      </c>
    </row>
    <row r="55">
      <c r="A55" s="7" t="s">
        <v>123</v>
      </c>
      <c r="B55" s="7" t="s">
        <v>124</v>
      </c>
      <c r="C55" s="8">
        <v>46186.0</v>
      </c>
      <c r="D55" s="7" t="s">
        <v>125</v>
      </c>
      <c r="E55" s="7" t="s">
        <v>127</v>
      </c>
      <c r="F55" s="7" t="s">
        <v>126</v>
      </c>
      <c r="G55" s="7">
        <v>85.0</v>
      </c>
      <c r="H55" s="7">
        <v>72.0</v>
      </c>
      <c r="I55" s="7">
        <v>13.0</v>
      </c>
      <c r="J55" s="7" t="s">
        <v>143</v>
      </c>
      <c r="K55" s="7" t="b">
        <v>1</v>
      </c>
      <c r="L55" s="2">
        <v>30.75</v>
      </c>
      <c r="M55" s="9">
        <v>1.28125</v>
      </c>
      <c r="N55" s="7">
        <v>30.75</v>
      </c>
      <c r="O55" s="9">
        <v>1.28125</v>
      </c>
      <c r="P55" s="7">
        <v>15.0</v>
      </c>
      <c r="Q55" s="7">
        <v>6.0</v>
      </c>
      <c r="R55" s="7">
        <v>12.0</v>
      </c>
      <c r="S55" s="7">
        <v>0.0</v>
      </c>
      <c r="T55" s="7">
        <v>1.0</v>
      </c>
      <c r="U55" s="7">
        <v>3.0</v>
      </c>
      <c r="V55" s="7">
        <v>4.0</v>
      </c>
      <c r="W55" s="7">
        <v>6.0</v>
      </c>
      <c r="X55" s="7">
        <v>13.0</v>
      </c>
      <c r="Y55" s="7">
        <v>0.5</v>
      </c>
      <c r="Z55" s="7">
        <v>0.0</v>
      </c>
      <c r="AA55" s="7">
        <v>0.75</v>
      </c>
      <c r="AB55" s="7">
        <v>0.4615</v>
      </c>
      <c r="AC55" s="7">
        <v>0.5081</v>
      </c>
      <c r="AD55" s="7">
        <v>2.0</v>
      </c>
      <c r="AE55" s="7">
        <v>0.923</v>
      </c>
      <c r="AF55" s="7">
        <v>0.077</v>
      </c>
      <c r="AG55" s="7">
        <v>2.0</v>
      </c>
      <c r="AH55" s="7">
        <v>3.0</v>
      </c>
      <c r="AI55" s="7">
        <v>1.0</v>
      </c>
      <c r="AJ55" s="7">
        <v>8.0</v>
      </c>
      <c r="AK55" s="7">
        <v>2.0</v>
      </c>
      <c r="AL55" s="7">
        <v>6.0</v>
      </c>
      <c r="AM55" s="7">
        <v>0.103</v>
      </c>
      <c r="AN55" s="7">
        <v>0.0</v>
      </c>
      <c r="AO55" s="7">
        <v>1.0</v>
      </c>
      <c r="AP55" s="7">
        <v>0.228</v>
      </c>
      <c r="AQ55" s="7">
        <v>0.2104</v>
      </c>
      <c r="AR55" s="7">
        <v>1.06</v>
      </c>
      <c r="AS55" s="7">
        <v>0.82</v>
      </c>
      <c r="AT55" s="7">
        <v>69.0</v>
      </c>
      <c r="AU55" s="7">
        <v>200.117</v>
      </c>
      <c r="AV55" s="7">
        <v>80.0</v>
      </c>
      <c r="AW55" s="7">
        <v>17.0</v>
      </c>
      <c r="AX55" s="7">
        <v>10.0</v>
      </c>
      <c r="AY55" s="7">
        <v>17.56</v>
      </c>
      <c r="AZ55" s="7">
        <v>9.37</v>
      </c>
      <c r="BA55" s="7">
        <v>2.34</v>
      </c>
      <c r="BB55" s="7">
        <v>1.17</v>
      </c>
      <c r="BC55" s="7">
        <v>1.17</v>
      </c>
      <c r="BD55" s="7">
        <v>0.0</v>
      </c>
      <c r="BE55" s="7">
        <v>3.51</v>
      </c>
      <c r="BF55" s="7" t="s">
        <v>86</v>
      </c>
      <c r="BG55" s="10"/>
      <c r="BH55" s="12"/>
      <c r="BI55" s="12"/>
      <c r="BJ55" s="12">
        <f t="shared" si="1"/>
        <v>0.06345177665</v>
      </c>
      <c r="BK55" s="12">
        <f t="shared" si="2"/>
        <v>0.3076923077</v>
      </c>
      <c r="BL55" s="12">
        <f t="shared" si="3"/>
        <v>1.153846154</v>
      </c>
      <c r="BM55" s="13">
        <f t="shared" si="4"/>
        <v>0.8</v>
      </c>
      <c r="BN55" s="13">
        <f t="shared" si="5"/>
        <v>0</v>
      </c>
      <c r="BO55" s="12">
        <f t="shared" si="6"/>
        <v>0.2</v>
      </c>
      <c r="BP55" s="14">
        <f t="shared" si="7"/>
        <v>2</v>
      </c>
    </row>
    <row r="56">
      <c r="A56" s="7" t="s">
        <v>123</v>
      </c>
      <c r="B56" s="7" t="s">
        <v>124</v>
      </c>
      <c r="C56" s="8">
        <v>46186.0</v>
      </c>
      <c r="D56" s="7" t="s">
        <v>125</v>
      </c>
      <c r="E56" s="7" t="s">
        <v>127</v>
      </c>
      <c r="F56" s="7" t="s">
        <v>126</v>
      </c>
      <c r="G56" s="7">
        <v>85.0</v>
      </c>
      <c r="H56" s="7">
        <v>72.0</v>
      </c>
      <c r="I56" s="7">
        <v>23.0</v>
      </c>
      <c r="J56" s="7" t="s">
        <v>144</v>
      </c>
      <c r="K56" s="7" t="b">
        <v>0</v>
      </c>
      <c r="L56" s="2">
        <v>27.867</v>
      </c>
      <c r="M56" s="9">
        <v>1.1611111111111112</v>
      </c>
      <c r="N56" s="7">
        <v>27.867</v>
      </c>
      <c r="O56" s="9">
        <v>1.1611111111111112</v>
      </c>
      <c r="P56" s="7">
        <v>15.0</v>
      </c>
      <c r="Q56" s="7">
        <v>4.0</v>
      </c>
      <c r="R56" s="7">
        <v>13.0</v>
      </c>
      <c r="S56" s="7">
        <v>2.0</v>
      </c>
      <c r="T56" s="7">
        <v>10.0</v>
      </c>
      <c r="U56" s="7">
        <v>1.0</v>
      </c>
      <c r="V56" s="7">
        <v>2.0</v>
      </c>
      <c r="W56" s="7">
        <v>6.0</v>
      </c>
      <c r="X56" s="7">
        <v>23.0</v>
      </c>
      <c r="Y56" s="7">
        <v>0.3077</v>
      </c>
      <c r="Z56" s="7">
        <v>0.2</v>
      </c>
      <c r="AA56" s="7">
        <v>0.5</v>
      </c>
      <c r="AB56" s="7">
        <v>0.3043</v>
      </c>
      <c r="AC56" s="7">
        <v>0.3141</v>
      </c>
      <c r="AD56" s="7">
        <v>1.0</v>
      </c>
      <c r="AE56" s="7">
        <v>0.565</v>
      </c>
      <c r="AF56" s="7">
        <v>0.435</v>
      </c>
      <c r="AG56" s="7">
        <v>3.0</v>
      </c>
      <c r="AH56" s="7">
        <v>4.0</v>
      </c>
      <c r="AI56" s="7">
        <v>1.0</v>
      </c>
      <c r="AJ56" s="7">
        <v>11.0</v>
      </c>
      <c r="AK56" s="7">
        <v>1.0</v>
      </c>
      <c r="AL56" s="7">
        <v>10.0</v>
      </c>
      <c r="AM56" s="7">
        <v>0.167</v>
      </c>
      <c r="AN56" s="7">
        <v>0.0</v>
      </c>
      <c r="AO56" s="7">
        <v>3.0</v>
      </c>
      <c r="AP56" s="7">
        <v>0.388</v>
      </c>
      <c r="AQ56" s="7">
        <v>0.3666</v>
      </c>
      <c r="AR56" s="7">
        <v>0.98</v>
      </c>
      <c r="AS56" s="7">
        <v>0.86</v>
      </c>
      <c r="AT56" s="7">
        <v>63.0</v>
      </c>
      <c r="AU56" s="7">
        <v>200.117</v>
      </c>
      <c r="AV56" s="7">
        <v>80.0</v>
      </c>
      <c r="AW56" s="7">
        <v>17.0</v>
      </c>
      <c r="AX56" s="7">
        <v>10.0</v>
      </c>
      <c r="AY56" s="7">
        <v>19.38</v>
      </c>
      <c r="AZ56" s="7">
        <v>14.21</v>
      </c>
      <c r="BA56" s="7">
        <v>3.88</v>
      </c>
      <c r="BB56" s="7">
        <v>1.29</v>
      </c>
      <c r="BC56" s="7">
        <v>3.88</v>
      </c>
      <c r="BD56" s="7">
        <v>0.0</v>
      </c>
      <c r="BE56" s="7">
        <v>5.17</v>
      </c>
      <c r="BF56" s="7" t="s">
        <v>76</v>
      </c>
      <c r="BG56" s="10"/>
      <c r="BH56" s="12"/>
      <c r="BI56" s="12"/>
      <c r="BJ56" s="12">
        <f t="shared" si="1"/>
        <v>0.04019292605</v>
      </c>
      <c r="BK56" s="12">
        <f t="shared" si="2"/>
        <v>0.08695652174</v>
      </c>
      <c r="BL56" s="12">
        <f t="shared" si="3"/>
        <v>0.652173913</v>
      </c>
      <c r="BM56" s="13">
        <f t="shared" si="4"/>
        <v>0.5333333333</v>
      </c>
      <c r="BN56" s="13">
        <f t="shared" si="5"/>
        <v>0.4</v>
      </c>
      <c r="BO56" s="12">
        <f t="shared" si="6"/>
        <v>0.06666666667</v>
      </c>
      <c r="BP56" s="14">
        <f t="shared" si="7"/>
        <v>3</v>
      </c>
    </row>
    <row r="57">
      <c r="A57" s="7" t="s">
        <v>145</v>
      </c>
      <c r="B57" s="7" t="s">
        <v>146</v>
      </c>
      <c r="C57" s="8">
        <v>46186.0</v>
      </c>
      <c r="D57" s="7" t="s">
        <v>147</v>
      </c>
      <c r="E57" s="7" t="s">
        <v>148</v>
      </c>
      <c r="F57" s="7" t="s">
        <v>149</v>
      </c>
      <c r="G57" s="7">
        <v>71.0</v>
      </c>
      <c r="H57" s="7">
        <v>102.0</v>
      </c>
      <c r="I57" s="7">
        <v>0.0</v>
      </c>
      <c r="J57" s="7" t="s">
        <v>150</v>
      </c>
      <c r="K57" s="7" t="b">
        <v>1</v>
      </c>
      <c r="L57" s="2">
        <v>40.0</v>
      </c>
      <c r="M57" s="9">
        <v>1.6666666666666667</v>
      </c>
      <c r="N57" s="7">
        <v>40.0</v>
      </c>
      <c r="O57" s="9">
        <v>1.6666666666666667</v>
      </c>
      <c r="P57" s="7">
        <v>27.0</v>
      </c>
      <c r="Q57" s="7">
        <v>10.0</v>
      </c>
      <c r="R57" s="7">
        <v>21.0</v>
      </c>
      <c r="S57" s="7">
        <v>0.0</v>
      </c>
      <c r="T57" s="7">
        <v>6.0</v>
      </c>
      <c r="U57" s="7">
        <v>7.0</v>
      </c>
      <c r="V57" s="7">
        <v>8.0</v>
      </c>
      <c r="W57" s="7">
        <v>10.0</v>
      </c>
      <c r="X57" s="7">
        <v>27.0</v>
      </c>
      <c r="Y57" s="7">
        <v>0.4762</v>
      </c>
      <c r="Z57" s="7">
        <v>0.0</v>
      </c>
      <c r="AA57" s="7">
        <v>0.875</v>
      </c>
      <c r="AB57" s="7">
        <v>0.3704</v>
      </c>
      <c r="AC57" s="7">
        <v>0.4423</v>
      </c>
      <c r="AD57" s="7">
        <v>4.0</v>
      </c>
      <c r="AE57" s="7">
        <v>0.778</v>
      </c>
      <c r="AF57" s="7">
        <v>0.222</v>
      </c>
      <c r="AG57" s="7">
        <v>2.0</v>
      </c>
      <c r="AH57" s="7">
        <v>3.0</v>
      </c>
      <c r="AI57" s="7">
        <v>5.0</v>
      </c>
      <c r="AJ57" s="7">
        <v>10.0</v>
      </c>
      <c r="AK57" s="7">
        <v>2.0</v>
      </c>
      <c r="AL57" s="7">
        <v>8.0</v>
      </c>
      <c r="AM57" s="7">
        <v>0.102</v>
      </c>
      <c r="AN57" s="7">
        <v>0.0</v>
      </c>
      <c r="AO57" s="7">
        <v>7.0</v>
      </c>
      <c r="AP57" s="7">
        <v>0.323</v>
      </c>
      <c r="AQ57" s="7">
        <v>0.2988</v>
      </c>
      <c r="AR57" s="7">
        <v>0.75</v>
      </c>
      <c r="AS57" s="7">
        <v>1.09</v>
      </c>
      <c r="AT57" s="7">
        <v>95.0</v>
      </c>
      <c r="AU57" s="7">
        <v>201.367</v>
      </c>
      <c r="AV57" s="7">
        <v>88.0</v>
      </c>
      <c r="AW57" s="7">
        <v>22.0</v>
      </c>
      <c r="AX57" s="7">
        <v>22.0</v>
      </c>
      <c r="AY57" s="7">
        <v>24.3</v>
      </c>
      <c r="AZ57" s="7">
        <v>9.0</v>
      </c>
      <c r="BA57" s="7">
        <v>1.8</v>
      </c>
      <c r="BB57" s="7">
        <v>4.5</v>
      </c>
      <c r="BC57" s="7">
        <v>6.3</v>
      </c>
      <c r="BD57" s="7">
        <v>0.0</v>
      </c>
      <c r="BE57" s="7">
        <v>2.7</v>
      </c>
      <c r="BF57" s="7" t="s">
        <v>86</v>
      </c>
      <c r="BG57" s="10"/>
      <c r="BH57" s="12"/>
      <c r="BI57" s="12"/>
      <c r="BJ57" s="12">
        <f t="shared" si="1"/>
        <v>0.1407657658</v>
      </c>
      <c r="BK57" s="12">
        <f t="shared" si="2"/>
        <v>0.2962962963</v>
      </c>
      <c r="BL57" s="12">
        <f t="shared" si="3"/>
        <v>1</v>
      </c>
      <c r="BM57" s="13">
        <f t="shared" si="4"/>
        <v>0.7407407407</v>
      </c>
      <c r="BN57" s="13">
        <f t="shared" si="5"/>
        <v>0</v>
      </c>
      <c r="BO57" s="12">
        <f t="shared" si="6"/>
        <v>0.2592592593</v>
      </c>
      <c r="BP57" s="14">
        <f t="shared" si="7"/>
        <v>0.4</v>
      </c>
    </row>
    <row r="58">
      <c r="A58" s="7" t="s">
        <v>145</v>
      </c>
      <c r="B58" s="7" t="s">
        <v>146</v>
      </c>
      <c r="C58" s="8">
        <v>46186.0</v>
      </c>
      <c r="D58" s="7" t="s">
        <v>147</v>
      </c>
      <c r="E58" s="7" t="s">
        <v>148</v>
      </c>
      <c r="F58" s="7" t="s">
        <v>149</v>
      </c>
      <c r="G58" s="7">
        <v>71.0</v>
      </c>
      <c r="H58" s="7">
        <v>102.0</v>
      </c>
      <c r="I58" s="7">
        <v>1.0</v>
      </c>
      <c r="J58" s="7" t="s">
        <v>151</v>
      </c>
      <c r="K58" s="7" t="b">
        <v>1</v>
      </c>
      <c r="L58" s="2">
        <v>32.217</v>
      </c>
      <c r="M58" s="9">
        <v>1.3423611111111111</v>
      </c>
      <c r="N58" s="7">
        <v>32.217</v>
      </c>
      <c r="O58" s="9">
        <v>1.3423611111111111</v>
      </c>
      <c r="P58" s="7">
        <v>15.0</v>
      </c>
      <c r="Q58" s="7">
        <v>2.0</v>
      </c>
      <c r="R58" s="7">
        <v>7.0</v>
      </c>
      <c r="S58" s="7">
        <v>1.0</v>
      </c>
      <c r="T58" s="7">
        <v>4.0</v>
      </c>
      <c r="U58" s="7">
        <v>8.0</v>
      </c>
      <c r="V58" s="7">
        <v>10.0</v>
      </c>
      <c r="W58" s="7">
        <v>3.0</v>
      </c>
      <c r="X58" s="7">
        <v>11.0</v>
      </c>
      <c r="Y58" s="7">
        <v>0.2857</v>
      </c>
      <c r="Z58" s="7">
        <v>0.25</v>
      </c>
      <c r="AA58" s="7">
        <v>0.8</v>
      </c>
      <c r="AB58" s="7">
        <v>0.3182</v>
      </c>
      <c r="AC58" s="7">
        <v>0.487</v>
      </c>
      <c r="AD58" s="7">
        <v>2.0</v>
      </c>
      <c r="AE58" s="7">
        <v>0.636</v>
      </c>
      <c r="AF58" s="7">
        <v>0.364</v>
      </c>
      <c r="AG58" s="7">
        <v>1.0</v>
      </c>
      <c r="AH58" s="7">
        <v>5.0</v>
      </c>
      <c r="AI58" s="7">
        <v>2.0</v>
      </c>
      <c r="AJ58" s="7">
        <v>3.0</v>
      </c>
      <c r="AK58" s="7">
        <v>1.0</v>
      </c>
      <c r="AL58" s="7">
        <v>2.0</v>
      </c>
      <c r="AM58" s="7">
        <v>0.039</v>
      </c>
      <c r="AN58" s="7">
        <v>0.0</v>
      </c>
      <c r="AO58" s="7">
        <v>4.0</v>
      </c>
      <c r="AP58" s="7">
        <v>0.245</v>
      </c>
      <c r="AQ58" s="7">
        <v>0.1817</v>
      </c>
      <c r="AR58" s="7">
        <v>0.7</v>
      </c>
      <c r="AS58" s="7">
        <v>1.01</v>
      </c>
      <c r="AT58" s="7">
        <v>76.0</v>
      </c>
      <c r="AU58" s="7">
        <v>201.367</v>
      </c>
      <c r="AV58" s="7">
        <v>88.0</v>
      </c>
      <c r="AW58" s="7">
        <v>22.0</v>
      </c>
      <c r="AX58" s="7">
        <v>22.0</v>
      </c>
      <c r="AY58" s="7">
        <v>16.76</v>
      </c>
      <c r="AZ58" s="7">
        <v>3.35</v>
      </c>
      <c r="BA58" s="7">
        <v>1.12</v>
      </c>
      <c r="BB58" s="7">
        <v>2.23</v>
      </c>
      <c r="BC58" s="7">
        <v>4.47</v>
      </c>
      <c r="BD58" s="7">
        <v>0.0</v>
      </c>
      <c r="BE58" s="7">
        <v>5.59</v>
      </c>
      <c r="BF58" s="7" t="s">
        <v>76</v>
      </c>
      <c r="BG58" s="10"/>
      <c r="BH58" s="12"/>
      <c r="BI58" s="12"/>
      <c r="BJ58" s="12">
        <f t="shared" si="1"/>
        <v>0.1149425287</v>
      </c>
      <c r="BK58" s="12">
        <f t="shared" si="2"/>
        <v>0.9090909091</v>
      </c>
      <c r="BL58" s="12">
        <f t="shared" si="3"/>
        <v>1.363636364</v>
      </c>
      <c r="BM58" s="13">
        <f t="shared" si="4"/>
        <v>0.2666666667</v>
      </c>
      <c r="BN58" s="13">
        <f t="shared" si="5"/>
        <v>0.2</v>
      </c>
      <c r="BO58" s="12">
        <f t="shared" si="6"/>
        <v>0.5333333333</v>
      </c>
      <c r="BP58" s="14">
        <f t="shared" si="7"/>
        <v>0.5</v>
      </c>
    </row>
    <row r="59">
      <c r="A59" s="7" t="s">
        <v>145</v>
      </c>
      <c r="B59" s="7" t="s">
        <v>146</v>
      </c>
      <c r="C59" s="8">
        <v>46186.0</v>
      </c>
      <c r="D59" s="7" t="s">
        <v>147</v>
      </c>
      <c r="E59" s="7" t="s">
        <v>148</v>
      </c>
      <c r="F59" s="7" t="s">
        <v>149</v>
      </c>
      <c r="G59" s="7">
        <v>71.0</v>
      </c>
      <c r="H59" s="7">
        <v>102.0</v>
      </c>
      <c r="I59" s="7">
        <v>3.0</v>
      </c>
      <c r="J59" s="7" t="s">
        <v>152</v>
      </c>
      <c r="K59" s="7" t="b">
        <v>0</v>
      </c>
      <c r="L59" s="2">
        <v>25.3</v>
      </c>
      <c r="M59" s="9">
        <v>1.0541666666666667</v>
      </c>
      <c r="N59" s="7">
        <v>25.3</v>
      </c>
      <c r="O59" s="9">
        <v>1.0541666666666667</v>
      </c>
      <c r="P59" s="7">
        <v>9.0</v>
      </c>
      <c r="Q59" s="7">
        <v>4.0</v>
      </c>
      <c r="R59" s="7">
        <v>13.0</v>
      </c>
      <c r="S59" s="7">
        <v>0.0</v>
      </c>
      <c r="T59" s="7">
        <v>0.0</v>
      </c>
      <c r="U59" s="7">
        <v>1.0</v>
      </c>
      <c r="V59" s="7">
        <v>1.0</v>
      </c>
      <c r="W59" s="7">
        <v>4.0</v>
      </c>
      <c r="X59" s="7">
        <v>13.0</v>
      </c>
      <c r="Y59" s="7">
        <v>0.3077</v>
      </c>
      <c r="AA59" s="7">
        <v>1.0</v>
      </c>
      <c r="AB59" s="7">
        <v>0.3077</v>
      </c>
      <c r="AC59" s="7">
        <v>0.3348</v>
      </c>
      <c r="AD59" s="7">
        <v>1.0</v>
      </c>
      <c r="AE59" s="7">
        <v>1.0</v>
      </c>
      <c r="AF59" s="7">
        <v>0.0</v>
      </c>
      <c r="AG59" s="7">
        <v>0.0</v>
      </c>
      <c r="AH59" s="7">
        <v>1.0</v>
      </c>
      <c r="AI59" s="7">
        <v>1.0</v>
      </c>
      <c r="AJ59" s="7">
        <v>6.0</v>
      </c>
      <c r="AK59" s="7">
        <v>3.0</v>
      </c>
      <c r="AL59" s="7">
        <v>3.0</v>
      </c>
      <c r="AM59" s="7">
        <v>0.092</v>
      </c>
      <c r="AN59" s="7">
        <v>0.0</v>
      </c>
      <c r="AO59" s="7">
        <v>1.0</v>
      </c>
      <c r="AP59" s="7">
        <v>0.219</v>
      </c>
      <c r="AQ59" s="7">
        <v>0.1921</v>
      </c>
      <c r="AR59" s="7">
        <v>0.78</v>
      </c>
      <c r="AS59" s="7">
        <v>1.11</v>
      </c>
      <c r="AT59" s="7">
        <v>58.0</v>
      </c>
      <c r="AU59" s="7">
        <v>201.367</v>
      </c>
      <c r="AV59" s="7">
        <v>88.0</v>
      </c>
      <c r="AW59" s="7">
        <v>22.0</v>
      </c>
      <c r="AX59" s="7">
        <v>22.0</v>
      </c>
      <c r="AY59" s="7">
        <v>12.81</v>
      </c>
      <c r="AZ59" s="7">
        <v>8.54</v>
      </c>
      <c r="BA59" s="7">
        <v>0.0</v>
      </c>
      <c r="BB59" s="7">
        <v>1.42</v>
      </c>
      <c r="BC59" s="7">
        <v>1.42</v>
      </c>
      <c r="BD59" s="7">
        <v>0.0</v>
      </c>
      <c r="BE59" s="7">
        <v>1.42</v>
      </c>
      <c r="BF59" s="7" t="s">
        <v>86</v>
      </c>
      <c r="BG59" s="10"/>
      <c r="BH59" s="12"/>
      <c r="BI59" s="12"/>
      <c r="BJ59" s="12">
        <f t="shared" si="1"/>
        <v>0.06925207756</v>
      </c>
      <c r="BK59" s="12">
        <f t="shared" si="2"/>
        <v>0.07692307692</v>
      </c>
      <c r="BL59" s="12">
        <f t="shared" si="3"/>
        <v>0.6923076923</v>
      </c>
      <c r="BM59" s="13">
        <f t="shared" si="4"/>
        <v>0.8888888889</v>
      </c>
      <c r="BN59" s="13">
        <f t="shared" si="5"/>
        <v>0</v>
      </c>
      <c r="BO59" s="12">
        <f t="shared" si="6"/>
        <v>0.1111111111</v>
      </c>
      <c r="BP59" s="14">
        <f t="shared" si="7"/>
        <v>0</v>
      </c>
    </row>
    <row r="60">
      <c r="A60" s="7" t="s">
        <v>145</v>
      </c>
      <c r="B60" s="7" t="s">
        <v>146</v>
      </c>
      <c r="C60" s="8">
        <v>46186.0</v>
      </c>
      <c r="D60" s="7" t="s">
        <v>147</v>
      </c>
      <c r="E60" s="7" t="s">
        <v>148</v>
      </c>
      <c r="F60" s="7" t="s">
        <v>149</v>
      </c>
      <c r="G60" s="7">
        <v>71.0</v>
      </c>
      <c r="H60" s="7">
        <v>102.0</v>
      </c>
      <c r="I60" s="7">
        <v>5.0</v>
      </c>
      <c r="J60" s="7" t="s">
        <v>153</v>
      </c>
      <c r="K60" s="7" t="b">
        <v>0</v>
      </c>
      <c r="L60" s="2">
        <v>16.867</v>
      </c>
      <c r="M60" s="9">
        <v>0.7027777777777777</v>
      </c>
      <c r="N60" s="7">
        <v>16.867</v>
      </c>
      <c r="O60" s="15">
        <v>0.7027777777777777</v>
      </c>
      <c r="P60" s="7">
        <v>2.0</v>
      </c>
      <c r="Q60" s="7">
        <v>1.0</v>
      </c>
      <c r="R60" s="7">
        <v>1.0</v>
      </c>
      <c r="S60" s="7">
        <v>0.0</v>
      </c>
      <c r="T60" s="7">
        <v>0.0</v>
      </c>
      <c r="U60" s="7">
        <v>0.0</v>
      </c>
      <c r="V60" s="7">
        <v>0.0</v>
      </c>
      <c r="W60" s="7">
        <v>1.0</v>
      </c>
      <c r="X60" s="7">
        <v>1.0</v>
      </c>
      <c r="Y60" s="7">
        <v>1.0</v>
      </c>
      <c r="AB60" s="7">
        <v>1.0</v>
      </c>
      <c r="AC60" s="7">
        <v>1.0</v>
      </c>
      <c r="AD60" s="7">
        <v>0.0</v>
      </c>
      <c r="AE60" s="7">
        <v>1.0</v>
      </c>
      <c r="AF60" s="7">
        <v>0.0</v>
      </c>
      <c r="AG60" s="7">
        <v>1.0</v>
      </c>
      <c r="AH60" s="7">
        <v>0.0</v>
      </c>
      <c r="AI60" s="7">
        <v>1.0</v>
      </c>
      <c r="AJ60" s="7">
        <v>2.0</v>
      </c>
      <c r="AK60" s="7">
        <v>1.0</v>
      </c>
      <c r="AL60" s="7">
        <v>1.0</v>
      </c>
      <c r="AM60" s="7">
        <v>0.049</v>
      </c>
      <c r="AN60" s="7">
        <v>0.0</v>
      </c>
      <c r="AO60" s="7">
        <v>0.0</v>
      </c>
      <c r="AP60" s="7">
        <v>0.038</v>
      </c>
      <c r="AQ60" s="7">
        <v>0.0399</v>
      </c>
      <c r="AR60" s="7">
        <v>0.67</v>
      </c>
      <c r="AS60" s="7">
        <v>1.14</v>
      </c>
      <c r="AT60" s="7">
        <v>43.0</v>
      </c>
      <c r="AU60" s="7">
        <v>201.367</v>
      </c>
      <c r="AV60" s="7">
        <v>88.0</v>
      </c>
      <c r="AW60" s="7">
        <v>22.0</v>
      </c>
      <c r="AX60" s="7">
        <v>22.0</v>
      </c>
      <c r="AY60" s="7">
        <v>4.27</v>
      </c>
      <c r="AZ60" s="7">
        <v>4.27</v>
      </c>
      <c r="BA60" s="7">
        <v>2.13</v>
      </c>
      <c r="BB60" s="7">
        <v>2.13</v>
      </c>
      <c r="BC60" s="7">
        <v>0.0</v>
      </c>
      <c r="BD60" s="7">
        <v>0.0</v>
      </c>
      <c r="BE60" s="7">
        <v>0.0</v>
      </c>
      <c r="BF60" s="7" t="s">
        <v>79</v>
      </c>
      <c r="BG60" s="10"/>
      <c r="BH60" s="12"/>
      <c r="BI60" s="12"/>
      <c r="BJ60" s="12">
        <f t="shared" si="1"/>
        <v>0.5</v>
      </c>
      <c r="BK60" s="12">
        <f t="shared" si="2"/>
        <v>0</v>
      </c>
      <c r="BL60" s="12">
        <f t="shared" si="3"/>
        <v>2</v>
      </c>
      <c r="BM60" s="13">
        <f t="shared" si="4"/>
        <v>1</v>
      </c>
      <c r="BN60" s="13">
        <f t="shared" si="5"/>
        <v>0</v>
      </c>
      <c r="BO60" s="12">
        <f t="shared" si="6"/>
        <v>0</v>
      </c>
      <c r="BP60" s="14">
        <f t="shared" si="7"/>
        <v>1</v>
      </c>
    </row>
    <row r="61">
      <c r="A61" s="7" t="s">
        <v>145</v>
      </c>
      <c r="B61" s="7" t="s">
        <v>146</v>
      </c>
      <c r="C61" s="8">
        <v>46186.0</v>
      </c>
      <c r="D61" s="7" t="s">
        <v>147</v>
      </c>
      <c r="E61" s="7" t="s">
        <v>148</v>
      </c>
      <c r="F61" s="7" t="s">
        <v>149</v>
      </c>
      <c r="G61" s="7">
        <v>71.0</v>
      </c>
      <c r="H61" s="7">
        <v>102.0</v>
      </c>
      <c r="I61" s="7">
        <v>11.0</v>
      </c>
      <c r="J61" s="7" t="s">
        <v>154</v>
      </c>
      <c r="K61" s="7" t="b">
        <v>1</v>
      </c>
      <c r="L61" s="2">
        <v>29.583</v>
      </c>
      <c r="M61" s="9">
        <v>1.2326388888888888</v>
      </c>
      <c r="N61" s="7">
        <v>29.583</v>
      </c>
      <c r="O61" s="9">
        <v>1.2326388888888888</v>
      </c>
      <c r="P61" s="7">
        <v>5.0</v>
      </c>
      <c r="Q61" s="7">
        <v>1.0</v>
      </c>
      <c r="R61" s="7">
        <v>11.0</v>
      </c>
      <c r="S61" s="7">
        <v>1.0</v>
      </c>
      <c r="T61" s="7">
        <v>3.0</v>
      </c>
      <c r="U61" s="7">
        <v>0.0</v>
      </c>
      <c r="V61" s="7">
        <v>0.0</v>
      </c>
      <c r="W61" s="7">
        <v>2.0</v>
      </c>
      <c r="X61" s="7">
        <v>14.0</v>
      </c>
      <c r="Y61" s="7">
        <v>0.0909</v>
      </c>
      <c r="Z61" s="7">
        <v>0.3333</v>
      </c>
      <c r="AB61" s="7">
        <v>0.1786</v>
      </c>
      <c r="AC61" s="7">
        <v>0.1786</v>
      </c>
      <c r="AD61" s="7">
        <v>0.0</v>
      </c>
      <c r="AE61" s="7">
        <v>0.786</v>
      </c>
      <c r="AF61" s="7">
        <v>0.214</v>
      </c>
      <c r="AG61" s="7">
        <v>1.0</v>
      </c>
      <c r="AH61" s="7">
        <v>3.0</v>
      </c>
      <c r="AI61" s="7">
        <v>4.0</v>
      </c>
      <c r="AJ61" s="7">
        <v>2.0</v>
      </c>
      <c r="AK61" s="7">
        <v>0.0</v>
      </c>
      <c r="AL61" s="7">
        <v>2.0</v>
      </c>
      <c r="AM61" s="7">
        <v>0.028</v>
      </c>
      <c r="AN61" s="7">
        <v>0.0</v>
      </c>
      <c r="AO61" s="7">
        <v>1.0</v>
      </c>
      <c r="AP61" s="7">
        <v>0.202</v>
      </c>
      <c r="AQ61" s="7">
        <v>0.2047</v>
      </c>
      <c r="AR61" s="7">
        <v>0.83</v>
      </c>
      <c r="AS61" s="7">
        <v>1.17</v>
      </c>
      <c r="AT61" s="7">
        <v>65.0</v>
      </c>
      <c r="AU61" s="7">
        <v>201.367</v>
      </c>
      <c r="AV61" s="7">
        <v>88.0</v>
      </c>
      <c r="AW61" s="7">
        <v>22.0</v>
      </c>
      <c r="AX61" s="7">
        <v>22.0</v>
      </c>
      <c r="AY61" s="7">
        <v>6.08</v>
      </c>
      <c r="AZ61" s="7">
        <v>2.43</v>
      </c>
      <c r="BA61" s="7">
        <v>1.22</v>
      </c>
      <c r="BB61" s="7">
        <v>4.87</v>
      </c>
      <c r="BC61" s="7">
        <v>1.22</v>
      </c>
      <c r="BD61" s="7">
        <v>0.0</v>
      </c>
      <c r="BE61" s="7">
        <v>3.65</v>
      </c>
      <c r="BF61" s="7" t="s">
        <v>84</v>
      </c>
      <c r="BG61" s="10"/>
      <c r="BH61" s="12"/>
      <c r="BI61" s="12"/>
      <c r="BJ61" s="12">
        <f t="shared" si="1"/>
        <v>0.2222222222</v>
      </c>
      <c r="BK61" s="12">
        <f t="shared" si="2"/>
        <v>0</v>
      </c>
      <c r="BL61" s="12">
        <f t="shared" si="3"/>
        <v>0.3571428571</v>
      </c>
      <c r="BM61" s="13">
        <f t="shared" si="4"/>
        <v>0.4</v>
      </c>
      <c r="BN61" s="13">
        <f t="shared" si="5"/>
        <v>0.6</v>
      </c>
      <c r="BO61" s="12">
        <f t="shared" si="6"/>
        <v>0</v>
      </c>
      <c r="BP61" s="14">
        <f t="shared" si="7"/>
        <v>0.25</v>
      </c>
    </row>
    <row r="62">
      <c r="A62" s="7" t="s">
        <v>145</v>
      </c>
      <c r="B62" s="7" t="s">
        <v>146</v>
      </c>
      <c r="C62" s="8">
        <v>46186.0</v>
      </c>
      <c r="D62" s="7" t="s">
        <v>147</v>
      </c>
      <c r="E62" s="7" t="s">
        <v>148</v>
      </c>
      <c r="F62" s="7" t="s">
        <v>149</v>
      </c>
      <c r="G62" s="7">
        <v>71.0</v>
      </c>
      <c r="H62" s="7">
        <v>102.0</v>
      </c>
      <c r="I62" s="7">
        <v>13.0</v>
      </c>
      <c r="J62" s="7" t="s">
        <v>155</v>
      </c>
      <c r="K62" s="7" t="b">
        <v>1</v>
      </c>
      <c r="L62" s="2">
        <v>27.683</v>
      </c>
      <c r="M62" s="9">
        <v>1.1534722222222222</v>
      </c>
      <c r="N62" s="7">
        <v>27.683</v>
      </c>
      <c r="O62" s="9">
        <v>1.1534722222222222</v>
      </c>
      <c r="P62" s="7">
        <v>5.0</v>
      </c>
      <c r="Q62" s="7">
        <v>1.0</v>
      </c>
      <c r="R62" s="7">
        <v>5.0</v>
      </c>
      <c r="S62" s="7">
        <v>1.0</v>
      </c>
      <c r="T62" s="7">
        <v>6.0</v>
      </c>
      <c r="U62" s="7">
        <v>0.0</v>
      </c>
      <c r="V62" s="7">
        <v>0.0</v>
      </c>
      <c r="W62" s="7">
        <v>2.0</v>
      </c>
      <c r="X62" s="7">
        <v>11.0</v>
      </c>
      <c r="Y62" s="7">
        <v>0.2</v>
      </c>
      <c r="Z62" s="7">
        <v>0.1667</v>
      </c>
      <c r="AB62" s="7">
        <v>0.2273</v>
      </c>
      <c r="AC62" s="7">
        <v>0.2273</v>
      </c>
      <c r="AD62" s="7">
        <v>0.0</v>
      </c>
      <c r="AE62" s="7">
        <v>0.455</v>
      </c>
      <c r="AF62" s="7">
        <v>0.545</v>
      </c>
      <c r="AG62" s="7">
        <v>3.0</v>
      </c>
      <c r="AH62" s="7">
        <v>1.0</v>
      </c>
      <c r="AI62" s="7">
        <v>7.0</v>
      </c>
      <c r="AJ62" s="7">
        <v>8.0</v>
      </c>
      <c r="AK62" s="7">
        <v>4.0</v>
      </c>
      <c r="AL62" s="7">
        <v>4.0</v>
      </c>
      <c r="AM62" s="7">
        <v>0.116</v>
      </c>
      <c r="AN62" s="7">
        <v>0.0</v>
      </c>
      <c r="AO62" s="7">
        <v>2.0</v>
      </c>
      <c r="AP62" s="7">
        <v>0.216</v>
      </c>
      <c r="AQ62" s="7">
        <v>0.2188</v>
      </c>
      <c r="AR62" s="7">
        <v>0.7</v>
      </c>
      <c r="AS62" s="7">
        <v>0.97</v>
      </c>
      <c r="AT62" s="7">
        <v>69.0</v>
      </c>
      <c r="AU62" s="7">
        <v>201.367</v>
      </c>
      <c r="AV62" s="7">
        <v>88.0</v>
      </c>
      <c r="AW62" s="7">
        <v>22.0</v>
      </c>
      <c r="AX62" s="7">
        <v>22.0</v>
      </c>
      <c r="AY62" s="7">
        <v>6.5</v>
      </c>
      <c r="AZ62" s="7">
        <v>10.4</v>
      </c>
      <c r="BA62" s="7">
        <v>3.9</v>
      </c>
      <c r="BB62" s="7">
        <v>9.1</v>
      </c>
      <c r="BC62" s="7">
        <v>2.6</v>
      </c>
      <c r="BD62" s="7">
        <v>0.0</v>
      </c>
      <c r="BE62" s="7">
        <v>1.3</v>
      </c>
      <c r="BF62" s="7" t="s">
        <v>84</v>
      </c>
      <c r="BG62" s="10"/>
      <c r="BH62" s="12"/>
      <c r="BI62" s="12"/>
      <c r="BJ62" s="12">
        <f t="shared" si="1"/>
        <v>0.3888888889</v>
      </c>
      <c r="BK62" s="12">
        <f t="shared" si="2"/>
        <v>0</v>
      </c>
      <c r="BL62" s="12">
        <f t="shared" si="3"/>
        <v>0.4545454545</v>
      </c>
      <c r="BM62" s="13">
        <f t="shared" si="4"/>
        <v>0.4</v>
      </c>
      <c r="BN62" s="13">
        <f t="shared" si="5"/>
        <v>0.6</v>
      </c>
      <c r="BO62" s="12">
        <f t="shared" si="6"/>
        <v>0</v>
      </c>
      <c r="BP62" s="14">
        <f t="shared" si="7"/>
        <v>0.4285714286</v>
      </c>
    </row>
    <row r="63">
      <c r="A63" s="7" t="s">
        <v>145</v>
      </c>
      <c r="B63" s="7" t="s">
        <v>146</v>
      </c>
      <c r="C63" s="8">
        <v>46186.0</v>
      </c>
      <c r="D63" s="7" t="s">
        <v>147</v>
      </c>
      <c r="E63" s="7" t="s">
        <v>148</v>
      </c>
      <c r="F63" s="7" t="s">
        <v>149</v>
      </c>
      <c r="G63" s="7">
        <v>71.0</v>
      </c>
      <c r="H63" s="7">
        <v>102.0</v>
      </c>
      <c r="I63" s="7">
        <v>23.0</v>
      </c>
      <c r="J63" s="7" t="s">
        <v>156</v>
      </c>
      <c r="K63" s="7" t="b">
        <v>1</v>
      </c>
      <c r="L63" s="2">
        <v>29.717</v>
      </c>
      <c r="M63" s="9">
        <v>1.2381944444444444</v>
      </c>
      <c r="N63" s="7">
        <v>29.717</v>
      </c>
      <c r="O63" s="9">
        <v>1.2381944444444444</v>
      </c>
      <c r="P63" s="7">
        <v>8.0</v>
      </c>
      <c r="Q63" s="7">
        <v>2.0</v>
      </c>
      <c r="R63" s="7">
        <v>9.0</v>
      </c>
      <c r="S63" s="7">
        <v>1.0</v>
      </c>
      <c r="T63" s="7">
        <v>2.0</v>
      </c>
      <c r="U63" s="7">
        <v>1.0</v>
      </c>
      <c r="V63" s="7">
        <v>3.0</v>
      </c>
      <c r="W63" s="7">
        <v>3.0</v>
      </c>
      <c r="X63" s="7">
        <v>11.0</v>
      </c>
      <c r="Y63" s="7">
        <v>0.2222</v>
      </c>
      <c r="Z63" s="7">
        <v>0.5</v>
      </c>
      <c r="AA63" s="7">
        <v>0.3333</v>
      </c>
      <c r="AB63" s="7">
        <v>0.3182</v>
      </c>
      <c r="AC63" s="7">
        <v>0.3247</v>
      </c>
      <c r="AD63" s="7">
        <v>1.0</v>
      </c>
      <c r="AE63" s="7">
        <v>0.818</v>
      </c>
      <c r="AF63" s="7">
        <v>0.182</v>
      </c>
      <c r="AG63" s="7">
        <v>2.0</v>
      </c>
      <c r="AH63" s="7">
        <v>2.0</v>
      </c>
      <c r="AI63" s="7">
        <v>2.0</v>
      </c>
      <c r="AJ63" s="7">
        <v>11.0</v>
      </c>
      <c r="AK63" s="7">
        <v>10.0</v>
      </c>
      <c r="AL63" s="7">
        <v>1.0</v>
      </c>
      <c r="AM63" s="7">
        <v>0.159</v>
      </c>
      <c r="AN63" s="7">
        <v>0.0</v>
      </c>
      <c r="AO63" s="7">
        <v>2.0</v>
      </c>
      <c r="AP63" s="7">
        <v>0.177</v>
      </c>
      <c r="AQ63" s="7">
        <v>0.1622</v>
      </c>
      <c r="AR63" s="7">
        <v>0.8</v>
      </c>
      <c r="AS63" s="7">
        <v>1.15</v>
      </c>
      <c r="AT63" s="7">
        <v>69.0</v>
      </c>
      <c r="AU63" s="7">
        <v>201.367</v>
      </c>
      <c r="AV63" s="7">
        <v>88.0</v>
      </c>
      <c r="AW63" s="7">
        <v>22.0</v>
      </c>
      <c r="AX63" s="7">
        <v>22.0</v>
      </c>
      <c r="AY63" s="7">
        <v>9.69</v>
      </c>
      <c r="AZ63" s="7">
        <v>13.33</v>
      </c>
      <c r="BA63" s="7">
        <v>2.42</v>
      </c>
      <c r="BB63" s="7">
        <v>2.42</v>
      </c>
      <c r="BC63" s="7">
        <v>2.42</v>
      </c>
      <c r="BD63" s="7">
        <v>0.0</v>
      </c>
      <c r="BE63" s="7">
        <v>2.42</v>
      </c>
      <c r="BF63" s="7" t="s">
        <v>76</v>
      </c>
      <c r="BG63" s="10"/>
      <c r="BH63" s="12"/>
      <c r="BI63" s="12"/>
      <c r="BJ63" s="12">
        <f t="shared" si="1"/>
        <v>0.1396648045</v>
      </c>
      <c r="BK63" s="12">
        <f t="shared" si="2"/>
        <v>0.2727272727</v>
      </c>
      <c r="BL63" s="12">
        <f t="shared" si="3"/>
        <v>0.7272727273</v>
      </c>
      <c r="BM63" s="13">
        <f t="shared" si="4"/>
        <v>0.5</v>
      </c>
      <c r="BN63" s="13">
        <f t="shared" si="5"/>
        <v>0.375</v>
      </c>
      <c r="BO63" s="12">
        <f t="shared" si="6"/>
        <v>0.125</v>
      </c>
      <c r="BP63" s="14">
        <f t="shared" si="7"/>
        <v>1</v>
      </c>
    </row>
    <row r="64">
      <c r="A64" s="7" t="s">
        <v>145</v>
      </c>
      <c r="B64" s="7" t="s">
        <v>146</v>
      </c>
      <c r="C64" s="8">
        <v>46186.0</v>
      </c>
      <c r="D64" s="7" t="s">
        <v>147</v>
      </c>
      <c r="E64" s="7" t="s">
        <v>149</v>
      </c>
      <c r="F64" s="7" t="s">
        <v>148</v>
      </c>
      <c r="G64" s="7">
        <v>102.0</v>
      </c>
      <c r="H64" s="7">
        <v>71.0</v>
      </c>
      <c r="I64" s="7">
        <v>1.0</v>
      </c>
      <c r="J64" s="7" t="s">
        <v>157</v>
      </c>
      <c r="K64" s="7" t="b">
        <v>1</v>
      </c>
      <c r="L64" s="2">
        <v>27.55</v>
      </c>
      <c r="M64" s="9">
        <v>1.1479166666666667</v>
      </c>
      <c r="N64" s="7">
        <v>27.55</v>
      </c>
      <c r="O64" s="9">
        <v>1.1479166666666667</v>
      </c>
      <c r="P64" s="7">
        <v>7.0</v>
      </c>
      <c r="Q64" s="7">
        <v>3.0</v>
      </c>
      <c r="R64" s="7">
        <v>6.0</v>
      </c>
      <c r="S64" s="7">
        <v>0.0</v>
      </c>
      <c r="T64" s="7">
        <v>1.0</v>
      </c>
      <c r="U64" s="7">
        <v>1.0</v>
      </c>
      <c r="V64" s="7">
        <v>2.0</v>
      </c>
      <c r="W64" s="7">
        <v>3.0</v>
      </c>
      <c r="X64" s="7">
        <v>7.0</v>
      </c>
      <c r="Y64" s="7">
        <v>0.5</v>
      </c>
      <c r="Z64" s="7">
        <v>0.0</v>
      </c>
      <c r="AA64" s="7">
        <v>0.5</v>
      </c>
      <c r="AB64" s="7">
        <v>0.4286</v>
      </c>
      <c r="AC64" s="7">
        <v>0.4442</v>
      </c>
      <c r="AD64" s="7">
        <v>1.0</v>
      </c>
      <c r="AE64" s="7">
        <v>0.857</v>
      </c>
      <c r="AF64" s="7">
        <v>0.143</v>
      </c>
      <c r="AG64" s="7">
        <v>2.0</v>
      </c>
      <c r="AH64" s="7">
        <v>1.0</v>
      </c>
      <c r="AI64" s="7">
        <v>4.0</v>
      </c>
      <c r="AJ64" s="7">
        <v>2.0</v>
      </c>
      <c r="AK64" s="7">
        <v>0.0</v>
      </c>
      <c r="AL64" s="7">
        <v>2.0</v>
      </c>
      <c r="AM64" s="7">
        <v>0.028</v>
      </c>
      <c r="AN64" s="7">
        <v>0.0</v>
      </c>
      <c r="AO64" s="7">
        <v>4.0</v>
      </c>
      <c r="AP64" s="7">
        <v>0.186</v>
      </c>
      <c r="AQ64" s="7">
        <v>0.1674</v>
      </c>
      <c r="AR64" s="7">
        <v>0.91</v>
      </c>
      <c r="AS64" s="7">
        <v>0.7</v>
      </c>
      <c r="AT64" s="7">
        <v>64.0</v>
      </c>
      <c r="AU64" s="7">
        <v>201.7</v>
      </c>
      <c r="AV64" s="7">
        <v>75.0</v>
      </c>
      <c r="AW64" s="7">
        <v>18.0</v>
      </c>
      <c r="AX64" s="7">
        <v>21.0</v>
      </c>
      <c r="AY64" s="7">
        <v>9.15</v>
      </c>
      <c r="AZ64" s="7">
        <v>2.61</v>
      </c>
      <c r="BA64" s="7">
        <v>2.61</v>
      </c>
      <c r="BB64" s="7">
        <v>5.23</v>
      </c>
      <c r="BC64" s="7">
        <v>5.23</v>
      </c>
      <c r="BD64" s="7">
        <v>0.0</v>
      </c>
      <c r="BE64" s="7">
        <v>1.31</v>
      </c>
      <c r="BF64" s="7" t="s">
        <v>86</v>
      </c>
      <c r="BG64" s="10"/>
      <c r="BH64" s="12"/>
      <c r="BI64" s="12"/>
      <c r="BJ64" s="12">
        <f t="shared" si="1"/>
        <v>0.3367003367</v>
      </c>
      <c r="BK64" s="12">
        <f t="shared" si="2"/>
        <v>0.2857142857</v>
      </c>
      <c r="BL64" s="12">
        <f t="shared" si="3"/>
        <v>1</v>
      </c>
      <c r="BM64" s="13">
        <f t="shared" si="4"/>
        <v>0.8571428571</v>
      </c>
      <c r="BN64" s="13">
        <f t="shared" si="5"/>
        <v>0</v>
      </c>
      <c r="BO64" s="12">
        <f t="shared" si="6"/>
        <v>0.1428571429</v>
      </c>
      <c r="BP64" s="14">
        <f t="shared" si="7"/>
        <v>0.5</v>
      </c>
    </row>
    <row r="65">
      <c r="A65" s="7" t="s">
        <v>145</v>
      </c>
      <c r="B65" s="7" t="s">
        <v>146</v>
      </c>
      <c r="C65" s="8">
        <v>46186.0</v>
      </c>
      <c r="D65" s="7" t="s">
        <v>147</v>
      </c>
      <c r="E65" s="7" t="s">
        <v>149</v>
      </c>
      <c r="F65" s="7" t="s">
        <v>148</v>
      </c>
      <c r="G65" s="7">
        <v>102.0</v>
      </c>
      <c r="H65" s="7">
        <v>71.0</v>
      </c>
      <c r="I65" s="7">
        <v>3.0</v>
      </c>
      <c r="J65" s="7" t="s">
        <v>158</v>
      </c>
      <c r="K65" s="7" t="b">
        <v>1</v>
      </c>
      <c r="L65" s="2">
        <v>25.383</v>
      </c>
      <c r="M65" s="9">
        <v>1.0576388888888888</v>
      </c>
      <c r="N65" s="7">
        <v>25.383</v>
      </c>
      <c r="O65" s="9">
        <v>1.0576388888888888</v>
      </c>
      <c r="P65" s="7">
        <v>15.0</v>
      </c>
      <c r="Q65" s="7">
        <v>2.0</v>
      </c>
      <c r="R65" s="7">
        <v>2.0</v>
      </c>
      <c r="S65" s="7">
        <v>3.0</v>
      </c>
      <c r="T65" s="7">
        <v>7.0</v>
      </c>
      <c r="U65" s="7">
        <v>2.0</v>
      </c>
      <c r="V65" s="7">
        <v>2.0</v>
      </c>
      <c r="W65" s="7">
        <v>5.0</v>
      </c>
      <c r="X65" s="7">
        <v>9.0</v>
      </c>
      <c r="Y65" s="7">
        <v>1.0</v>
      </c>
      <c r="Z65" s="7">
        <v>0.4286</v>
      </c>
      <c r="AA65" s="7">
        <v>1.0</v>
      </c>
      <c r="AB65" s="7">
        <v>0.7222</v>
      </c>
      <c r="AC65" s="7">
        <v>0.7591</v>
      </c>
      <c r="AD65" s="7">
        <v>1.0</v>
      </c>
      <c r="AE65" s="7">
        <v>0.222</v>
      </c>
      <c r="AF65" s="7">
        <v>0.778</v>
      </c>
      <c r="AG65" s="7">
        <v>3.0</v>
      </c>
      <c r="AH65" s="7">
        <v>3.0</v>
      </c>
      <c r="AI65" s="7">
        <v>4.0</v>
      </c>
      <c r="AJ65" s="7">
        <v>2.0</v>
      </c>
      <c r="AK65" s="7">
        <v>1.0</v>
      </c>
      <c r="AL65" s="7">
        <v>1.0</v>
      </c>
      <c r="AM65" s="7">
        <v>0.033</v>
      </c>
      <c r="AN65" s="7">
        <v>0.0</v>
      </c>
      <c r="AO65" s="7">
        <v>1.0</v>
      </c>
      <c r="AP65" s="7">
        <v>0.231</v>
      </c>
      <c r="AQ65" s="7">
        <v>0.2123</v>
      </c>
      <c r="AR65" s="7">
        <v>1.07</v>
      </c>
      <c r="AS65" s="7">
        <v>0.75</v>
      </c>
      <c r="AT65" s="7">
        <v>58.0</v>
      </c>
      <c r="AU65" s="7">
        <v>201.7</v>
      </c>
      <c r="AV65" s="7">
        <v>75.0</v>
      </c>
      <c r="AW65" s="7">
        <v>18.0</v>
      </c>
      <c r="AX65" s="7">
        <v>21.0</v>
      </c>
      <c r="AY65" s="7">
        <v>21.27</v>
      </c>
      <c r="AZ65" s="7">
        <v>2.84</v>
      </c>
      <c r="BA65" s="7">
        <v>4.25</v>
      </c>
      <c r="BB65" s="7">
        <v>5.67</v>
      </c>
      <c r="BC65" s="7">
        <v>1.42</v>
      </c>
      <c r="BD65" s="7">
        <v>0.0</v>
      </c>
      <c r="BE65" s="7">
        <v>4.25</v>
      </c>
      <c r="BF65" s="7" t="s">
        <v>76</v>
      </c>
      <c r="BG65" s="10"/>
      <c r="BH65" s="12"/>
      <c r="BI65" s="12"/>
      <c r="BJ65" s="12">
        <f t="shared" si="1"/>
        <v>0.288184438</v>
      </c>
      <c r="BK65" s="12">
        <f t="shared" si="2"/>
        <v>0.2222222222</v>
      </c>
      <c r="BL65" s="12">
        <f t="shared" si="3"/>
        <v>1.666666667</v>
      </c>
      <c r="BM65" s="13">
        <f t="shared" si="4"/>
        <v>0.2666666667</v>
      </c>
      <c r="BN65" s="13">
        <f t="shared" si="5"/>
        <v>0.6</v>
      </c>
      <c r="BO65" s="12">
        <f t="shared" si="6"/>
        <v>0.1333333333</v>
      </c>
      <c r="BP65" s="14">
        <f t="shared" si="7"/>
        <v>0.75</v>
      </c>
    </row>
    <row r="66">
      <c r="A66" s="7" t="s">
        <v>145</v>
      </c>
      <c r="B66" s="7" t="s">
        <v>146</v>
      </c>
      <c r="C66" s="8">
        <v>46186.0</v>
      </c>
      <c r="D66" s="7" t="s">
        <v>147</v>
      </c>
      <c r="E66" s="7" t="s">
        <v>149</v>
      </c>
      <c r="F66" s="7" t="s">
        <v>148</v>
      </c>
      <c r="G66" s="7">
        <v>102.0</v>
      </c>
      <c r="H66" s="7">
        <v>71.0</v>
      </c>
      <c r="I66" s="7">
        <v>5.0</v>
      </c>
      <c r="J66" s="7" t="s">
        <v>159</v>
      </c>
      <c r="K66" s="7" t="b">
        <v>1</v>
      </c>
      <c r="L66" s="2">
        <v>32.283</v>
      </c>
      <c r="M66" s="9">
        <v>1.3451388888888889</v>
      </c>
      <c r="N66" s="7">
        <v>32.283</v>
      </c>
      <c r="O66" s="9">
        <v>1.3451388888888889</v>
      </c>
      <c r="P66" s="7">
        <v>13.0</v>
      </c>
      <c r="Q66" s="7">
        <v>2.0</v>
      </c>
      <c r="R66" s="7">
        <v>6.0</v>
      </c>
      <c r="S66" s="7">
        <v>2.0</v>
      </c>
      <c r="T66" s="7">
        <v>6.0</v>
      </c>
      <c r="U66" s="7">
        <v>3.0</v>
      </c>
      <c r="V66" s="7">
        <v>3.0</v>
      </c>
      <c r="W66" s="7">
        <v>4.0</v>
      </c>
      <c r="X66" s="7">
        <v>12.0</v>
      </c>
      <c r="Y66" s="7">
        <v>0.3333</v>
      </c>
      <c r="Z66" s="7">
        <v>0.3333</v>
      </c>
      <c r="AA66" s="7">
        <v>1.0</v>
      </c>
      <c r="AB66" s="7">
        <v>0.4167</v>
      </c>
      <c r="AC66" s="7">
        <v>0.488</v>
      </c>
      <c r="AD66" s="7">
        <v>1.0</v>
      </c>
      <c r="AE66" s="7">
        <v>0.5</v>
      </c>
      <c r="AF66" s="7">
        <v>0.5</v>
      </c>
      <c r="AG66" s="7">
        <v>5.0</v>
      </c>
      <c r="AH66" s="7">
        <v>2.0</v>
      </c>
      <c r="AI66" s="7">
        <v>1.0</v>
      </c>
      <c r="AJ66" s="7">
        <v>7.0</v>
      </c>
      <c r="AK66" s="7">
        <v>2.0</v>
      </c>
      <c r="AL66" s="7">
        <v>5.0</v>
      </c>
      <c r="AM66" s="7">
        <v>0.09</v>
      </c>
      <c r="AN66" s="7">
        <v>1.0</v>
      </c>
      <c r="AO66" s="7">
        <v>1.0</v>
      </c>
      <c r="AP66" s="7">
        <v>0.195</v>
      </c>
      <c r="AQ66" s="7">
        <v>0.1722</v>
      </c>
      <c r="AR66" s="7">
        <v>1.12</v>
      </c>
      <c r="AS66" s="7">
        <v>0.71</v>
      </c>
      <c r="AT66" s="7">
        <v>76.0</v>
      </c>
      <c r="AU66" s="7">
        <v>201.7</v>
      </c>
      <c r="AV66" s="7">
        <v>75.0</v>
      </c>
      <c r="AW66" s="7">
        <v>18.0</v>
      </c>
      <c r="AX66" s="7">
        <v>21.0</v>
      </c>
      <c r="AY66" s="7">
        <v>14.5</v>
      </c>
      <c r="AZ66" s="7">
        <v>7.81</v>
      </c>
      <c r="BA66" s="7">
        <v>5.58</v>
      </c>
      <c r="BB66" s="7">
        <v>1.12</v>
      </c>
      <c r="BC66" s="7">
        <v>1.12</v>
      </c>
      <c r="BD66" s="7">
        <v>1.12</v>
      </c>
      <c r="BE66" s="7">
        <v>2.23</v>
      </c>
      <c r="BF66" s="7" t="s">
        <v>76</v>
      </c>
      <c r="BG66" s="10"/>
      <c r="BH66" s="12"/>
      <c r="BI66" s="12"/>
      <c r="BJ66" s="12">
        <f t="shared" si="1"/>
        <v>0.06983240223</v>
      </c>
      <c r="BK66" s="12">
        <f t="shared" si="2"/>
        <v>0.25</v>
      </c>
      <c r="BL66" s="12">
        <f t="shared" si="3"/>
        <v>1.083333333</v>
      </c>
      <c r="BM66" s="13">
        <f t="shared" si="4"/>
        <v>0.3076923077</v>
      </c>
      <c r="BN66" s="13">
        <f t="shared" si="5"/>
        <v>0.4615384615</v>
      </c>
      <c r="BO66" s="12">
        <f t="shared" si="6"/>
        <v>0.2307692308</v>
      </c>
      <c r="BP66" s="14">
        <f t="shared" si="7"/>
        <v>5</v>
      </c>
    </row>
    <row r="67">
      <c r="A67" s="7" t="s">
        <v>145</v>
      </c>
      <c r="B67" s="7" t="s">
        <v>146</v>
      </c>
      <c r="C67" s="8">
        <v>46186.0</v>
      </c>
      <c r="D67" s="7" t="s">
        <v>147</v>
      </c>
      <c r="E67" s="7" t="s">
        <v>149</v>
      </c>
      <c r="F67" s="7" t="s">
        <v>148</v>
      </c>
      <c r="G67" s="7">
        <v>102.0</v>
      </c>
      <c r="H67" s="7">
        <v>71.0</v>
      </c>
      <c r="I67" s="7">
        <v>7.0</v>
      </c>
      <c r="J67" s="7" t="s">
        <v>160</v>
      </c>
      <c r="K67" s="7" t="b">
        <v>0</v>
      </c>
      <c r="L67" s="2">
        <v>15.55</v>
      </c>
      <c r="M67" s="9">
        <v>0.6479166666666667</v>
      </c>
      <c r="N67" s="7">
        <v>15.55</v>
      </c>
      <c r="O67" s="15">
        <v>0.6479166666666667</v>
      </c>
      <c r="P67" s="7">
        <v>4.0</v>
      </c>
      <c r="Q67" s="7">
        <v>2.0</v>
      </c>
      <c r="R67" s="7">
        <v>3.0</v>
      </c>
      <c r="S67" s="7">
        <v>0.0</v>
      </c>
      <c r="T67" s="7">
        <v>0.0</v>
      </c>
      <c r="U67" s="7">
        <v>0.0</v>
      </c>
      <c r="V67" s="7">
        <v>0.0</v>
      </c>
      <c r="W67" s="7">
        <v>2.0</v>
      </c>
      <c r="X67" s="7">
        <v>3.0</v>
      </c>
      <c r="Y67" s="7">
        <v>0.6667</v>
      </c>
      <c r="AB67" s="7">
        <v>0.6667</v>
      </c>
      <c r="AC67" s="7">
        <v>0.6667</v>
      </c>
      <c r="AD67" s="7">
        <v>0.0</v>
      </c>
      <c r="AE67" s="7">
        <v>1.0</v>
      </c>
      <c r="AF67" s="7">
        <v>0.0</v>
      </c>
      <c r="AG67" s="7">
        <v>1.0</v>
      </c>
      <c r="AH67" s="7">
        <v>0.0</v>
      </c>
      <c r="AI67" s="7">
        <v>2.0</v>
      </c>
      <c r="AJ67" s="7">
        <v>4.0</v>
      </c>
      <c r="AK67" s="7">
        <v>0.0</v>
      </c>
      <c r="AL67" s="7">
        <v>4.0</v>
      </c>
      <c r="AM67" s="7">
        <v>0.114</v>
      </c>
      <c r="AN67" s="7">
        <v>0.0</v>
      </c>
      <c r="AO67" s="7">
        <v>0.0</v>
      </c>
      <c r="AP67" s="7">
        <v>0.116</v>
      </c>
      <c r="AQ67" s="7">
        <v>0.1248</v>
      </c>
      <c r="AR67" s="7">
        <v>1.39</v>
      </c>
      <c r="AS67" s="7">
        <v>0.74</v>
      </c>
      <c r="AT67" s="7">
        <v>36.0</v>
      </c>
      <c r="AU67" s="7">
        <v>201.7</v>
      </c>
      <c r="AV67" s="7">
        <v>75.0</v>
      </c>
      <c r="AW67" s="7">
        <v>18.0</v>
      </c>
      <c r="AX67" s="7">
        <v>21.0</v>
      </c>
      <c r="AY67" s="7">
        <v>9.26</v>
      </c>
      <c r="AZ67" s="7">
        <v>9.26</v>
      </c>
      <c r="BA67" s="7">
        <v>2.32</v>
      </c>
      <c r="BB67" s="7">
        <v>4.63</v>
      </c>
      <c r="BC67" s="7">
        <v>0.0</v>
      </c>
      <c r="BD67" s="7">
        <v>0.0</v>
      </c>
      <c r="BE67" s="7">
        <v>0.0</v>
      </c>
      <c r="BF67" s="7" t="s">
        <v>79</v>
      </c>
      <c r="BG67" s="10"/>
      <c r="BH67" s="12"/>
      <c r="BI67" s="12"/>
      <c r="BJ67" s="12">
        <f t="shared" si="1"/>
        <v>0.4</v>
      </c>
      <c r="BK67" s="12">
        <f t="shared" si="2"/>
        <v>0</v>
      </c>
      <c r="BL67" s="12">
        <f t="shared" si="3"/>
        <v>1.333333333</v>
      </c>
      <c r="BM67" s="13">
        <f t="shared" si="4"/>
        <v>1</v>
      </c>
      <c r="BN67" s="13">
        <f t="shared" si="5"/>
        <v>0</v>
      </c>
      <c r="BO67" s="12">
        <f t="shared" si="6"/>
        <v>0</v>
      </c>
      <c r="BP67" s="14">
        <f t="shared" si="7"/>
        <v>0.5</v>
      </c>
    </row>
    <row r="68">
      <c r="A68" s="7" t="s">
        <v>145</v>
      </c>
      <c r="B68" s="7" t="s">
        <v>146</v>
      </c>
      <c r="C68" s="8">
        <v>46186.0</v>
      </c>
      <c r="D68" s="7" t="s">
        <v>147</v>
      </c>
      <c r="E68" s="7" t="s">
        <v>149</v>
      </c>
      <c r="F68" s="7" t="s">
        <v>148</v>
      </c>
      <c r="G68" s="7">
        <v>102.0</v>
      </c>
      <c r="H68" s="7">
        <v>71.0</v>
      </c>
      <c r="I68" s="7">
        <v>8.0</v>
      </c>
      <c r="J68" s="7" t="s">
        <v>161</v>
      </c>
      <c r="K68" s="7" t="b">
        <v>1</v>
      </c>
      <c r="L68" s="2">
        <v>25.583</v>
      </c>
      <c r="M68" s="9">
        <v>1.0659722222222223</v>
      </c>
      <c r="N68" s="7">
        <v>25.583</v>
      </c>
      <c r="O68" s="9">
        <v>1.0659722222222223</v>
      </c>
      <c r="P68" s="7">
        <v>17.0</v>
      </c>
      <c r="Q68" s="7">
        <v>6.0</v>
      </c>
      <c r="R68" s="7">
        <v>9.0</v>
      </c>
      <c r="S68" s="7">
        <v>1.0</v>
      </c>
      <c r="T68" s="7">
        <v>4.0</v>
      </c>
      <c r="U68" s="7">
        <v>2.0</v>
      </c>
      <c r="V68" s="7">
        <v>2.0</v>
      </c>
      <c r="W68" s="7">
        <v>7.0</v>
      </c>
      <c r="X68" s="7">
        <v>13.0</v>
      </c>
      <c r="Y68" s="7">
        <v>0.6667</v>
      </c>
      <c r="Z68" s="7">
        <v>0.25</v>
      </c>
      <c r="AA68" s="7">
        <v>1.0</v>
      </c>
      <c r="AB68" s="7">
        <v>0.5769</v>
      </c>
      <c r="AC68" s="7">
        <v>0.6124</v>
      </c>
      <c r="AD68" s="7">
        <v>1.0</v>
      </c>
      <c r="AE68" s="7">
        <v>0.692</v>
      </c>
      <c r="AF68" s="7">
        <v>0.308</v>
      </c>
      <c r="AG68" s="7">
        <v>6.0</v>
      </c>
      <c r="AH68" s="7">
        <v>4.0</v>
      </c>
      <c r="AI68" s="7">
        <v>3.0</v>
      </c>
      <c r="AJ68" s="7">
        <v>5.0</v>
      </c>
      <c r="AK68" s="7">
        <v>2.0</v>
      </c>
      <c r="AL68" s="7">
        <v>3.0</v>
      </c>
      <c r="AM68" s="7">
        <v>0.081</v>
      </c>
      <c r="AN68" s="7">
        <v>2.0</v>
      </c>
      <c r="AO68" s="7">
        <v>3.0</v>
      </c>
      <c r="AP68" s="7">
        <v>0.277</v>
      </c>
      <c r="AQ68" s="7">
        <v>0.2561</v>
      </c>
      <c r="AR68" s="7">
        <v>1.17</v>
      </c>
      <c r="AS68" s="7">
        <v>0.74</v>
      </c>
      <c r="AT68" s="7">
        <v>58.0</v>
      </c>
      <c r="AU68" s="7">
        <v>201.7</v>
      </c>
      <c r="AV68" s="7">
        <v>75.0</v>
      </c>
      <c r="AW68" s="7">
        <v>18.0</v>
      </c>
      <c r="AX68" s="7">
        <v>21.0</v>
      </c>
      <c r="AY68" s="7">
        <v>23.92</v>
      </c>
      <c r="AZ68" s="7">
        <v>7.04</v>
      </c>
      <c r="BA68" s="7">
        <v>8.44</v>
      </c>
      <c r="BB68" s="7">
        <v>4.22</v>
      </c>
      <c r="BC68" s="7">
        <v>4.22</v>
      </c>
      <c r="BD68" s="7">
        <v>2.81</v>
      </c>
      <c r="BE68" s="7">
        <v>5.63</v>
      </c>
      <c r="BF68" s="7" t="s">
        <v>76</v>
      </c>
      <c r="BG68" s="10"/>
      <c r="BH68" s="12"/>
      <c r="BI68" s="12"/>
      <c r="BJ68" s="12">
        <f t="shared" si="1"/>
        <v>0.1777251185</v>
      </c>
      <c r="BK68" s="12">
        <f t="shared" si="2"/>
        <v>0.1538461538</v>
      </c>
      <c r="BL68" s="12">
        <f t="shared" si="3"/>
        <v>1.307692308</v>
      </c>
      <c r="BM68" s="13">
        <f t="shared" si="4"/>
        <v>0.7058823529</v>
      </c>
      <c r="BN68" s="13">
        <f t="shared" si="5"/>
        <v>0.1764705882</v>
      </c>
      <c r="BO68" s="12">
        <f t="shared" si="6"/>
        <v>0.1176470588</v>
      </c>
      <c r="BP68" s="14">
        <f t="shared" si="7"/>
        <v>2</v>
      </c>
    </row>
    <row r="69">
      <c r="A69" s="7" t="s">
        <v>145</v>
      </c>
      <c r="B69" s="7" t="s">
        <v>146</v>
      </c>
      <c r="C69" s="8">
        <v>46186.0</v>
      </c>
      <c r="D69" s="7" t="s">
        <v>147</v>
      </c>
      <c r="E69" s="7" t="s">
        <v>149</v>
      </c>
      <c r="F69" s="7" t="s">
        <v>148</v>
      </c>
      <c r="G69" s="7">
        <v>102.0</v>
      </c>
      <c r="H69" s="7">
        <v>71.0</v>
      </c>
      <c r="I69" s="7">
        <v>12.0</v>
      </c>
      <c r="J69" s="7" t="s">
        <v>162</v>
      </c>
      <c r="K69" s="7" t="b">
        <v>1</v>
      </c>
      <c r="L69" s="2">
        <v>28.9</v>
      </c>
      <c r="M69" s="9">
        <v>1.2041666666666666</v>
      </c>
      <c r="N69" s="7">
        <v>28.9</v>
      </c>
      <c r="O69" s="9">
        <v>1.2041666666666666</v>
      </c>
      <c r="P69" s="7">
        <v>16.0</v>
      </c>
      <c r="Q69" s="7">
        <v>4.0</v>
      </c>
      <c r="R69" s="7">
        <v>4.0</v>
      </c>
      <c r="S69" s="7">
        <v>2.0</v>
      </c>
      <c r="T69" s="7">
        <v>5.0</v>
      </c>
      <c r="U69" s="7">
        <v>2.0</v>
      </c>
      <c r="V69" s="7">
        <v>2.0</v>
      </c>
      <c r="W69" s="7">
        <v>6.0</v>
      </c>
      <c r="X69" s="7">
        <v>9.0</v>
      </c>
      <c r="Y69" s="7">
        <v>1.0</v>
      </c>
      <c r="Z69" s="7">
        <v>0.4</v>
      </c>
      <c r="AA69" s="7">
        <v>1.0</v>
      </c>
      <c r="AB69" s="7">
        <v>0.7778</v>
      </c>
      <c r="AC69" s="7">
        <v>0.8097</v>
      </c>
      <c r="AD69" s="7">
        <v>1.0</v>
      </c>
      <c r="AE69" s="7">
        <v>0.444</v>
      </c>
      <c r="AF69" s="7">
        <v>0.556</v>
      </c>
      <c r="AG69" s="7">
        <v>2.0</v>
      </c>
      <c r="AH69" s="7">
        <v>2.0</v>
      </c>
      <c r="AI69" s="7">
        <v>3.0</v>
      </c>
      <c r="AJ69" s="7">
        <v>11.0</v>
      </c>
      <c r="AK69" s="7">
        <v>0.0</v>
      </c>
      <c r="AL69" s="7">
        <v>11.0</v>
      </c>
      <c r="AM69" s="7">
        <v>0.155</v>
      </c>
      <c r="AN69" s="7">
        <v>1.0</v>
      </c>
      <c r="AO69" s="7">
        <v>6.0</v>
      </c>
      <c r="AP69" s="7">
        <v>0.194</v>
      </c>
      <c r="AQ69" s="7">
        <v>0.173</v>
      </c>
      <c r="AR69" s="7">
        <v>0.95</v>
      </c>
      <c r="AS69" s="7">
        <v>0.77</v>
      </c>
      <c r="AT69" s="7">
        <v>66.0</v>
      </c>
      <c r="AU69" s="7">
        <v>201.7</v>
      </c>
      <c r="AV69" s="7">
        <v>75.0</v>
      </c>
      <c r="AW69" s="7">
        <v>18.0</v>
      </c>
      <c r="AX69" s="7">
        <v>21.0</v>
      </c>
      <c r="AY69" s="7">
        <v>19.93</v>
      </c>
      <c r="AZ69" s="7">
        <v>13.7</v>
      </c>
      <c r="BA69" s="7">
        <v>2.49</v>
      </c>
      <c r="BB69" s="7">
        <v>3.74</v>
      </c>
      <c r="BC69" s="7">
        <v>7.47</v>
      </c>
      <c r="BD69" s="7">
        <v>1.25</v>
      </c>
      <c r="BE69" s="7">
        <v>2.49</v>
      </c>
      <c r="BF69" s="7" t="s">
        <v>76</v>
      </c>
      <c r="BG69" s="10"/>
      <c r="BH69" s="12"/>
      <c r="BI69" s="12"/>
      <c r="BJ69" s="12">
        <f t="shared" si="1"/>
        <v>0.2329192547</v>
      </c>
      <c r="BK69" s="12">
        <f t="shared" si="2"/>
        <v>0.2222222222</v>
      </c>
      <c r="BL69" s="12">
        <f t="shared" si="3"/>
        <v>1.777777778</v>
      </c>
      <c r="BM69" s="13">
        <f t="shared" si="4"/>
        <v>0.5</v>
      </c>
      <c r="BN69" s="13">
        <f t="shared" si="5"/>
        <v>0.375</v>
      </c>
      <c r="BO69" s="12">
        <f t="shared" si="6"/>
        <v>0.125</v>
      </c>
      <c r="BP69" s="14">
        <f t="shared" si="7"/>
        <v>0.6666666667</v>
      </c>
    </row>
    <row r="70">
      <c r="A70" s="7" t="s">
        <v>145</v>
      </c>
      <c r="B70" s="7" t="s">
        <v>146</v>
      </c>
      <c r="C70" s="8">
        <v>46186.0</v>
      </c>
      <c r="D70" s="7" t="s">
        <v>147</v>
      </c>
      <c r="E70" s="7" t="s">
        <v>149</v>
      </c>
      <c r="F70" s="7" t="s">
        <v>148</v>
      </c>
      <c r="G70" s="7">
        <v>102.0</v>
      </c>
      <c r="H70" s="7">
        <v>71.0</v>
      </c>
      <c r="I70" s="7">
        <v>23.0</v>
      </c>
      <c r="J70" s="7" t="s">
        <v>163</v>
      </c>
      <c r="K70" s="7" t="b">
        <v>0</v>
      </c>
      <c r="L70" s="2">
        <v>26.067</v>
      </c>
      <c r="M70" s="9">
        <v>1.086111111111111</v>
      </c>
      <c r="N70" s="7">
        <v>26.067</v>
      </c>
      <c r="O70" s="9">
        <v>1.086111111111111</v>
      </c>
      <c r="P70" s="7">
        <v>9.0</v>
      </c>
      <c r="Q70" s="7">
        <v>3.0</v>
      </c>
      <c r="R70" s="7">
        <v>6.0</v>
      </c>
      <c r="S70" s="7">
        <v>0.0</v>
      </c>
      <c r="T70" s="7">
        <v>4.0</v>
      </c>
      <c r="U70" s="7">
        <v>3.0</v>
      </c>
      <c r="V70" s="7">
        <v>4.0</v>
      </c>
      <c r="W70" s="7">
        <v>3.0</v>
      </c>
      <c r="X70" s="7">
        <v>10.0</v>
      </c>
      <c r="Y70" s="7">
        <v>0.5</v>
      </c>
      <c r="Z70" s="7">
        <v>0.0</v>
      </c>
      <c r="AA70" s="7">
        <v>0.75</v>
      </c>
      <c r="AB70" s="7">
        <v>0.3</v>
      </c>
      <c r="AC70" s="7">
        <v>0.3827</v>
      </c>
      <c r="AD70" s="7">
        <v>2.0</v>
      </c>
      <c r="AE70" s="7">
        <v>0.6</v>
      </c>
      <c r="AF70" s="7">
        <v>0.4</v>
      </c>
      <c r="AG70" s="7">
        <v>3.0</v>
      </c>
      <c r="AH70" s="7">
        <v>3.0</v>
      </c>
      <c r="AI70" s="7">
        <v>3.0</v>
      </c>
      <c r="AJ70" s="7">
        <v>7.0</v>
      </c>
      <c r="AK70" s="7">
        <v>3.0</v>
      </c>
      <c r="AL70" s="7">
        <v>4.0</v>
      </c>
      <c r="AM70" s="7">
        <v>0.117</v>
      </c>
      <c r="AN70" s="7">
        <v>0.0</v>
      </c>
      <c r="AO70" s="7">
        <v>1.0</v>
      </c>
      <c r="AP70" s="7">
        <v>0.23</v>
      </c>
      <c r="AQ70" s="7">
        <v>0.2198</v>
      </c>
      <c r="AR70" s="7">
        <v>1.18</v>
      </c>
      <c r="AS70" s="7">
        <v>0.84</v>
      </c>
      <c r="AT70" s="7">
        <v>62.0</v>
      </c>
      <c r="AU70" s="7">
        <v>201.7</v>
      </c>
      <c r="AV70" s="7">
        <v>75.0</v>
      </c>
      <c r="AW70" s="7">
        <v>18.0</v>
      </c>
      <c r="AX70" s="7">
        <v>21.0</v>
      </c>
      <c r="AY70" s="7">
        <v>12.43</v>
      </c>
      <c r="AZ70" s="7">
        <v>9.67</v>
      </c>
      <c r="BA70" s="7">
        <v>4.14</v>
      </c>
      <c r="BB70" s="7">
        <v>4.14</v>
      </c>
      <c r="BC70" s="7">
        <v>1.38</v>
      </c>
      <c r="BD70" s="7">
        <v>0.0</v>
      </c>
      <c r="BE70" s="7">
        <v>4.14</v>
      </c>
      <c r="BF70" s="7" t="s">
        <v>86</v>
      </c>
      <c r="BG70" s="10"/>
      <c r="BH70" s="12"/>
      <c r="BI70" s="12"/>
      <c r="BJ70" s="12">
        <f t="shared" si="1"/>
        <v>0.2032520325</v>
      </c>
      <c r="BK70" s="12">
        <f t="shared" si="2"/>
        <v>0.4</v>
      </c>
      <c r="BL70" s="12">
        <f t="shared" si="3"/>
        <v>0.9</v>
      </c>
      <c r="BM70" s="13">
        <f t="shared" si="4"/>
        <v>0.6666666667</v>
      </c>
      <c r="BN70" s="13">
        <f t="shared" si="5"/>
        <v>0</v>
      </c>
      <c r="BO70" s="12">
        <f t="shared" si="6"/>
        <v>0.3333333333</v>
      </c>
      <c r="BP70" s="14">
        <f t="shared" si="7"/>
        <v>1</v>
      </c>
    </row>
    <row r="71">
      <c r="A71" s="7" t="s">
        <v>145</v>
      </c>
      <c r="B71" s="7" t="s">
        <v>146</v>
      </c>
      <c r="C71" s="8">
        <v>46186.0</v>
      </c>
      <c r="D71" s="7" t="s">
        <v>147</v>
      </c>
      <c r="E71" s="7" t="s">
        <v>149</v>
      </c>
      <c r="F71" s="7" t="s">
        <v>148</v>
      </c>
      <c r="G71" s="7">
        <v>102.0</v>
      </c>
      <c r="H71" s="7">
        <v>71.0</v>
      </c>
      <c r="I71" s="7">
        <v>24.0</v>
      </c>
      <c r="J71" s="7" t="s">
        <v>164</v>
      </c>
      <c r="K71" s="7" t="b">
        <v>0</v>
      </c>
      <c r="L71" s="2">
        <v>20.383</v>
      </c>
      <c r="M71" s="9">
        <v>0.8493055555555555</v>
      </c>
      <c r="N71" s="7">
        <v>20.383</v>
      </c>
      <c r="O71" s="15">
        <v>0.8493055555555555</v>
      </c>
      <c r="P71" s="7">
        <v>21.0</v>
      </c>
      <c r="Q71" s="7">
        <v>9.0</v>
      </c>
      <c r="R71" s="7">
        <v>11.0</v>
      </c>
      <c r="S71" s="7">
        <v>0.0</v>
      </c>
      <c r="T71" s="7">
        <v>1.0</v>
      </c>
      <c r="U71" s="7">
        <v>3.0</v>
      </c>
      <c r="V71" s="7">
        <v>3.0</v>
      </c>
      <c r="W71" s="7">
        <v>9.0</v>
      </c>
      <c r="X71" s="7">
        <v>12.0</v>
      </c>
      <c r="Y71" s="7">
        <v>0.8182</v>
      </c>
      <c r="Z71" s="7">
        <v>0.0</v>
      </c>
      <c r="AA71" s="7">
        <v>1.0</v>
      </c>
      <c r="AB71" s="7">
        <v>0.75</v>
      </c>
      <c r="AC71" s="7">
        <v>0.7883</v>
      </c>
      <c r="AD71" s="7">
        <v>0.0</v>
      </c>
      <c r="AE71" s="7">
        <v>0.917</v>
      </c>
      <c r="AF71" s="7">
        <v>0.083</v>
      </c>
      <c r="AG71" s="7">
        <v>0.0</v>
      </c>
      <c r="AH71" s="7">
        <v>0.0</v>
      </c>
      <c r="AI71" s="7">
        <v>1.0</v>
      </c>
      <c r="AJ71" s="7">
        <v>5.0</v>
      </c>
      <c r="AK71" s="7">
        <v>4.0</v>
      </c>
      <c r="AL71" s="7">
        <v>1.0</v>
      </c>
      <c r="AM71" s="7">
        <v>0.096</v>
      </c>
      <c r="AN71" s="7">
        <v>1.0</v>
      </c>
      <c r="AO71" s="7">
        <v>1.0</v>
      </c>
      <c r="AP71" s="7">
        <v>0.305</v>
      </c>
      <c r="AQ71" s="7">
        <v>0.2727</v>
      </c>
      <c r="AR71" s="7">
        <v>1.02</v>
      </c>
      <c r="AS71" s="7">
        <v>0.71</v>
      </c>
      <c r="AT71" s="7">
        <v>50.0</v>
      </c>
      <c r="AU71" s="7">
        <v>201.7</v>
      </c>
      <c r="AV71" s="7">
        <v>75.0</v>
      </c>
      <c r="AW71" s="7">
        <v>18.0</v>
      </c>
      <c r="AX71" s="7">
        <v>21.0</v>
      </c>
      <c r="AY71" s="7">
        <v>37.09</v>
      </c>
      <c r="AZ71" s="7">
        <v>8.83</v>
      </c>
      <c r="BA71" s="7">
        <v>0.0</v>
      </c>
      <c r="BB71" s="7">
        <v>1.77</v>
      </c>
      <c r="BC71" s="7">
        <v>1.77</v>
      </c>
      <c r="BD71" s="7">
        <v>1.77</v>
      </c>
      <c r="BE71" s="7">
        <v>0.0</v>
      </c>
      <c r="BF71" s="7" t="s">
        <v>86</v>
      </c>
      <c r="BG71" s="10"/>
      <c r="BH71" s="12"/>
      <c r="BI71" s="12"/>
      <c r="BJ71" s="12">
        <f t="shared" si="1"/>
        <v>0.06983240223</v>
      </c>
      <c r="BK71" s="12">
        <f t="shared" si="2"/>
        <v>0.25</v>
      </c>
      <c r="BL71" s="12">
        <f t="shared" si="3"/>
        <v>1.75</v>
      </c>
      <c r="BM71" s="13">
        <f t="shared" si="4"/>
        <v>0.8571428571</v>
      </c>
      <c r="BN71" s="13">
        <f t="shared" si="5"/>
        <v>0</v>
      </c>
      <c r="BO71" s="12">
        <f t="shared" si="6"/>
        <v>0.1428571429</v>
      </c>
      <c r="BP71" s="14">
        <f t="shared" si="7"/>
        <v>0</v>
      </c>
    </row>
    <row r="72">
      <c r="A72" s="7" t="s">
        <v>165</v>
      </c>
      <c r="B72" s="7" t="s">
        <v>166</v>
      </c>
      <c r="C72" s="8">
        <v>46187.0</v>
      </c>
      <c r="D72" s="7" t="s">
        <v>167</v>
      </c>
      <c r="E72" s="7" t="s">
        <v>99</v>
      </c>
      <c r="F72" s="7" t="s">
        <v>70</v>
      </c>
      <c r="G72" s="7">
        <v>62.0</v>
      </c>
      <c r="H72" s="7">
        <v>72.0</v>
      </c>
      <c r="I72" s="7">
        <v>0.0</v>
      </c>
      <c r="J72" s="7" t="s">
        <v>113</v>
      </c>
      <c r="K72" s="7" t="b">
        <v>1</v>
      </c>
      <c r="L72" s="2">
        <v>14.833</v>
      </c>
      <c r="M72" s="9">
        <v>0.6180555555555556</v>
      </c>
      <c r="N72" s="7">
        <v>14.833</v>
      </c>
      <c r="O72" s="15">
        <v>0.6180555555555556</v>
      </c>
      <c r="P72" s="7">
        <v>10.0</v>
      </c>
      <c r="Q72" s="7">
        <v>2.0</v>
      </c>
      <c r="R72" s="7">
        <v>2.0</v>
      </c>
      <c r="S72" s="7">
        <v>2.0</v>
      </c>
      <c r="T72" s="7">
        <v>7.0</v>
      </c>
      <c r="U72" s="7">
        <v>0.0</v>
      </c>
      <c r="V72" s="7">
        <v>0.0</v>
      </c>
      <c r="W72" s="7">
        <v>4.0</v>
      </c>
      <c r="X72" s="7">
        <v>9.0</v>
      </c>
      <c r="Y72" s="7">
        <v>1.0</v>
      </c>
      <c r="Z72" s="7">
        <v>0.2857</v>
      </c>
      <c r="AB72" s="7">
        <v>0.5556</v>
      </c>
      <c r="AC72" s="7">
        <v>0.5556</v>
      </c>
      <c r="AD72" s="7">
        <v>0.0</v>
      </c>
      <c r="AE72" s="7">
        <v>0.222</v>
      </c>
      <c r="AF72" s="7">
        <v>0.778</v>
      </c>
      <c r="AG72" s="7">
        <v>0.0</v>
      </c>
      <c r="AH72" s="7">
        <v>2.0</v>
      </c>
      <c r="AI72" s="7">
        <v>3.0</v>
      </c>
      <c r="AJ72" s="7">
        <v>2.0</v>
      </c>
      <c r="AK72" s="7">
        <v>1.0</v>
      </c>
      <c r="AL72" s="7">
        <v>1.0</v>
      </c>
      <c r="AM72" s="7">
        <v>0.053</v>
      </c>
      <c r="AN72" s="7">
        <v>0.0</v>
      </c>
      <c r="AO72" s="7">
        <v>0.0</v>
      </c>
      <c r="AP72" s="7">
        <v>0.316</v>
      </c>
      <c r="AQ72" s="7">
        <v>0.3355</v>
      </c>
      <c r="AR72" s="7">
        <v>0.74</v>
      </c>
      <c r="AS72" s="7">
        <v>0.77</v>
      </c>
      <c r="AT72" s="7">
        <v>31.0</v>
      </c>
      <c r="AU72" s="7">
        <v>199.917</v>
      </c>
      <c r="AV72" s="7">
        <v>71.0</v>
      </c>
      <c r="AW72" s="7">
        <v>10.0</v>
      </c>
      <c r="AX72" s="7">
        <v>21.0</v>
      </c>
      <c r="AY72" s="7">
        <v>24.27</v>
      </c>
      <c r="AZ72" s="7">
        <v>4.85</v>
      </c>
      <c r="BA72" s="7">
        <v>0.0</v>
      </c>
      <c r="BB72" s="7">
        <v>7.28</v>
      </c>
      <c r="BC72" s="7">
        <v>0.0</v>
      </c>
      <c r="BD72" s="7">
        <v>0.0</v>
      </c>
      <c r="BE72" s="7">
        <v>4.85</v>
      </c>
      <c r="BF72" s="7" t="s">
        <v>84</v>
      </c>
      <c r="BG72" s="10"/>
      <c r="BH72" s="12"/>
      <c r="BI72" s="12"/>
      <c r="BJ72" s="12">
        <f t="shared" si="1"/>
        <v>0.25</v>
      </c>
      <c r="BK72" s="12">
        <f t="shared" si="2"/>
        <v>0</v>
      </c>
      <c r="BL72" s="12">
        <f t="shared" si="3"/>
        <v>1.111111111</v>
      </c>
      <c r="BM72" s="13">
        <f t="shared" si="4"/>
        <v>0.4</v>
      </c>
      <c r="BN72" s="13">
        <f t="shared" si="5"/>
        <v>0.6</v>
      </c>
      <c r="BO72" s="12">
        <f t="shared" si="6"/>
        <v>0</v>
      </c>
      <c r="BP72" s="14">
        <f t="shared" si="7"/>
        <v>0</v>
      </c>
    </row>
    <row r="73">
      <c r="A73" s="7" t="s">
        <v>165</v>
      </c>
      <c r="B73" s="7" t="s">
        <v>166</v>
      </c>
      <c r="C73" s="8">
        <v>46187.0</v>
      </c>
      <c r="D73" s="7" t="s">
        <v>167</v>
      </c>
      <c r="E73" s="7" t="s">
        <v>99</v>
      </c>
      <c r="F73" s="7" t="s">
        <v>70</v>
      </c>
      <c r="G73" s="7">
        <v>62.0</v>
      </c>
      <c r="H73" s="7">
        <v>72.0</v>
      </c>
      <c r="I73" s="7">
        <v>1.0</v>
      </c>
      <c r="J73" s="7" t="s">
        <v>114</v>
      </c>
      <c r="K73" s="7" t="b">
        <v>0</v>
      </c>
      <c r="L73" s="2">
        <v>28.717</v>
      </c>
      <c r="M73" s="9">
        <v>1.1965277777777779</v>
      </c>
      <c r="N73" s="7">
        <v>28.717</v>
      </c>
      <c r="O73" s="9">
        <v>1.1965277777777779</v>
      </c>
      <c r="P73" s="7">
        <v>7.0</v>
      </c>
      <c r="Q73" s="7">
        <v>2.0</v>
      </c>
      <c r="R73" s="7">
        <v>3.0</v>
      </c>
      <c r="S73" s="7">
        <v>1.0</v>
      </c>
      <c r="T73" s="7">
        <v>6.0</v>
      </c>
      <c r="U73" s="7">
        <v>0.0</v>
      </c>
      <c r="V73" s="7">
        <v>1.0</v>
      </c>
      <c r="W73" s="7">
        <v>3.0</v>
      </c>
      <c r="X73" s="7">
        <v>9.0</v>
      </c>
      <c r="Y73" s="7">
        <v>0.6667</v>
      </c>
      <c r="Z73" s="7">
        <v>0.1667</v>
      </c>
      <c r="AA73" s="7">
        <v>0.0</v>
      </c>
      <c r="AB73" s="7">
        <v>0.3889</v>
      </c>
      <c r="AC73" s="7">
        <v>0.3708</v>
      </c>
      <c r="AD73" s="7">
        <v>0.0</v>
      </c>
      <c r="AE73" s="7">
        <v>0.333</v>
      </c>
      <c r="AF73" s="7">
        <v>0.667</v>
      </c>
      <c r="AG73" s="7">
        <v>4.0</v>
      </c>
      <c r="AH73" s="7">
        <v>4.0</v>
      </c>
      <c r="AI73" s="7">
        <v>2.0</v>
      </c>
      <c r="AJ73" s="7">
        <v>4.0</v>
      </c>
      <c r="AK73" s="7">
        <v>0.0</v>
      </c>
      <c r="AL73" s="7">
        <v>4.0</v>
      </c>
      <c r="AM73" s="7">
        <v>0.063</v>
      </c>
      <c r="AN73" s="7">
        <v>0.0</v>
      </c>
      <c r="AO73" s="7">
        <v>0.0</v>
      </c>
      <c r="AP73" s="7">
        <v>0.186</v>
      </c>
      <c r="AQ73" s="7">
        <v>0.1652</v>
      </c>
      <c r="AR73" s="7">
        <v>0.85</v>
      </c>
      <c r="AS73" s="7">
        <v>0.91</v>
      </c>
      <c r="AT73" s="7">
        <v>54.0</v>
      </c>
      <c r="AU73" s="7">
        <v>199.917</v>
      </c>
      <c r="AV73" s="7">
        <v>71.0</v>
      </c>
      <c r="AW73" s="7">
        <v>10.0</v>
      </c>
      <c r="AX73" s="7">
        <v>21.0</v>
      </c>
      <c r="AY73" s="7">
        <v>8.78</v>
      </c>
      <c r="AZ73" s="7">
        <v>5.01</v>
      </c>
      <c r="BA73" s="7">
        <v>5.01</v>
      </c>
      <c r="BB73" s="7">
        <v>2.51</v>
      </c>
      <c r="BC73" s="7">
        <v>0.0</v>
      </c>
      <c r="BD73" s="7">
        <v>0.0</v>
      </c>
      <c r="BE73" s="7">
        <v>5.01</v>
      </c>
      <c r="BF73" s="7" t="s">
        <v>84</v>
      </c>
      <c r="BG73" s="10"/>
      <c r="BH73" s="12"/>
      <c r="BI73" s="12"/>
      <c r="BJ73" s="12">
        <f t="shared" si="1"/>
        <v>0.1748251748</v>
      </c>
      <c r="BK73" s="12">
        <f t="shared" si="2"/>
        <v>0.1111111111</v>
      </c>
      <c r="BL73" s="12">
        <f t="shared" si="3"/>
        <v>0.7777777778</v>
      </c>
      <c r="BM73" s="13">
        <f t="shared" si="4"/>
        <v>0.5714285714</v>
      </c>
      <c r="BN73" s="13">
        <f t="shared" si="5"/>
        <v>0.4285714286</v>
      </c>
      <c r="BO73" s="12">
        <f t="shared" si="6"/>
        <v>0</v>
      </c>
      <c r="BP73" s="14">
        <f t="shared" si="7"/>
        <v>2</v>
      </c>
    </row>
    <row r="74">
      <c r="A74" s="7" t="s">
        <v>165</v>
      </c>
      <c r="B74" s="7" t="s">
        <v>166</v>
      </c>
      <c r="C74" s="8">
        <v>46187.0</v>
      </c>
      <c r="D74" s="7" t="s">
        <v>167</v>
      </c>
      <c r="E74" s="7" t="s">
        <v>99</v>
      </c>
      <c r="F74" s="7" t="s">
        <v>70</v>
      </c>
      <c r="G74" s="7">
        <v>62.0</v>
      </c>
      <c r="H74" s="7">
        <v>72.0</v>
      </c>
      <c r="I74" s="7">
        <v>2.0</v>
      </c>
      <c r="J74" s="7" t="s">
        <v>115</v>
      </c>
      <c r="K74" s="7" t="b">
        <v>0</v>
      </c>
      <c r="L74" s="2">
        <v>13.133</v>
      </c>
      <c r="M74" s="9">
        <v>0.5472222222222223</v>
      </c>
      <c r="N74" s="7">
        <v>13.133</v>
      </c>
      <c r="O74" s="15">
        <v>0.5472222222222223</v>
      </c>
      <c r="P74" s="7">
        <v>13.0</v>
      </c>
      <c r="Q74" s="7">
        <v>2.0</v>
      </c>
      <c r="R74" s="7">
        <v>2.0</v>
      </c>
      <c r="S74" s="7">
        <v>3.0</v>
      </c>
      <c r="T74" s="7">
        <v>4.0</v>
      </c>
      <c r="U74" s="7">
        <v>0.0</v>
      </c>
      <c r="V74" s="7">
        <v>0.0</v>
      </c>
      <c r="W74" s="7">
        <v>5.0</v>
      </c>
      <c r="X74" s="7">
        <v>6.0</v>
      </c>
      <c r="Y74" s="7">
        <v>1.0</v>
      </c>
      <c r="Z74" s="7">
        <v>0.75</v>
      </c>
      <c r="AB74" s="7">
        <v>1.0833</v>
      </c>
      <c r="AC74" s="7">
        <v>1.0833</v>
      </c>
      <c r="AD74" s="7">
        <v>0.0</v>
      </c>
      <c r="AE74" s="7">
        <v>0.333</v>
      </c>
      <c r="AF74" s="7">
        <v>0.667</v>
      </c>
      <c r="AG74" s="7">
        <v>2.0</v>
      </c>
      <c r="AH74" s="7">
        <v>2.0</v>
      </c>
      <c r="AI74" s="7">
        <v>1.0</v>
      </c>
      <c r="AJ74" s="7">
        <v>2.0</v>
      </c>
      <c r="AK74" s="7">
        <v>0.0</v>
      </c>
      <c r="AL74" s="7">
        <v>2.0</v>
      </c>
      <c r="AM74" s="7">
        <v>0.077</v>
      </c>
      <c r="AN74" s="7">
        <v>0.0</v>
      </c>
      <c r="AO74" s="7">
        <v>1.0</v>
      </c>
      <c r="AP74" s="7">
        <v>0.241</v>
      </c>
      <c r="AQ74" s="7">
        <v>0.2211</v>
      </c>
      <c r="AR74" s="7">
        <v>0.92</v>
      </c>
      <c r="AS74" s="7">
        <v>1.08</v>
      </c>
      <c r="AT74" s="7">
        <v>26.0</v>
      </c>
      <c r="AU74" s="7">
        <v>199.917</v>
      </c>
      <c r="AV74" s="7">
        <v>71.0</v>
      </c>
      <c r="AW74" s="7">
        <v>10.0</v>
      </c>
      <c r="AX74" s="7">
        <v>21.0</v>
      </c>
      <c r="AY74" s="7">
        <v>35.63</v>
      </c>
      <c r="AZ74" s="7">
        <v>5.48</v>
      </c>
      <c r="BA74" s="7">
        <v>5.48</v>
      </c>
      <c r="BB74" s="7">
        <v>2.74</v>
      </c>
      <c r="BC74" s="7">
        <v>2.74</v>
      </c>
      <c r="BD74" s="7">
        <v>0.0</v>
      </c>
      <c r="BE74" s="7">
        <v>5.48</v>
      </c>
      <c r="BF74" s="7" t="s">
        <v>84</v>
      </c>
      <c r="BG74" s="10"/>
      <c r="BH74" s="12"/>
      <c r="BI74" s="12"/>
      <c r="BJ74" s="12">
        <f t="shared" si="1"/>
        <v>0.1428571429</v>
      </c>
      <c r="BK74" s="12">
        <f t="shared" si="2"/>
        <v>0</v>
      </c>
      <c r="BL74" s="12">
        <f t="shared" si="3"/>
        <v>2.166666667</v>
      </c>
      <c r="BM74" s="13">
        <f t="shared" si="4"/>
        <v>0.3076923077</v>
      </c>
      <c r="BN74" s="13">
        <f t="shared" si="5"/>
        <v>0.6923076923</v>
      </c>
      <c r="BO74" s="12">
        <f t="shared" si="6"/>
        <v>0</v>
      </c>
      <c r="BP74" s="14">
        <f t="shared" si="7"/>
        <v>2</v>
      </c>
    </row>
    <row r="75">
      <c r="A75" s="7" t="s">
        <v>165</v>
      </c>
      <c r="B75" s="7" t="s">
        <v>166</v>
      </c>
      <c r="C75" s="8">
        <v>46187.0</v>
      </c>
      <c r="D75" s="7" t="s">
        <v>167</v>
      </c>
      <c r="E75" s="7" t="s">
        <v>99</v>
      </c>
      <c r="F75" s="7" t="s">
        <v>70</v>
      </c>
      <c r="G75" s="7">
        <v>62.0</v>
      </c>
      <c r="H75" s="7">
        <v>72.0</v>
      </c>
      <c r="I75" s="7">
        <v>3.0</v>
      </c>
      <c r="J75" s="7" t="s">
        <v>116</v>
      </c>
      <c r="K75" s="7" t="b">
        <v>0</v>
      </c>
      <c r="L75" s="2">
        <v>19.367</v>
      </c>
      <c r="M75" s="9">
        <v>0.8069444444444445</v>
      </c>
      <c r="N75" s="7">
        <v>19.367</v>
      </c>
      <c r="O75" s="15">
        <v>0.8069444444444445</v>
      </c>
      <c r="P75" s="7">
        <v>0.0</v>
      </c>
      <c r="Q75" s="7">
        <v>0.0</v>
      </c>
      <c r="R75" s="7">
        <v>1.0</v>
      </c>
      <c r="S75" s="7">
        <v>0.0</v>
      </c>
      <c r="T75" s="7">
        <v>5.0</v>
      </c>
      <c r="U75" s="7">
        <v>0.0</v>
      </c>
      <c r="V75" s="7">
        <v>0.0</v>
      </c>
      <c r="W75" s="7">
        <v>0.0</v>
      </c>
      <c r="X75" s="7">
        <v>6.0</v>
      </c>
      <c r="Y75" s="7">
        <v>0.0</v>
      </c>
      <c r="Z75" s="7">
        <v>0.0</v>
      </c>
      <c r="AB75" s="7">
        <v>0.0</v>
      </c>
      <c r="AC75" s="7">
        <v>0.0</v>
      </c>
      <c r="AD75" s="7">
        <v>0.0</v>
      </c>
      <c r="AE75" s="7">
        <v>0.167</v>
      </c>
      <c r="AF75" s="7">
        <v>0.833</v>
      </c>
      <c r="AG75" s="7">
        <v>0.0</v>
      </c>
      <c r="AH75" s="7">
        <v>1.0</v>
      </c>
      <c r="AI75" s="7">
        <v>2.0</v>
      </c>
      <c r="AJ75" s="7">
        <v>1.0</v>
      </c>
      <c r="AK75" s="7">
        <v>0.0</v>
      </c>
      <c r="AL75" s="7">
        <v>1.0</v>
      </c>
      <c r="AM75" s="7">
        <v>0.026</v>
      </c>
      <c r="AN75" s="7">
        <v>0.0</v>
      </c>
      <c r="AO75" s="7">
        <v>0.0</v>
      </c>
      <c r="AP75" s="7">
        <v>0.17</v>
      </c>
      <c r="AQ75" s="7">
        <v>0.1713</v>
      </c>
      <c r="AR75" s="7">
        <v>0.77</v>
      </c>
      <c r="AS75" s="7">
        <v>1.08</v>
      </c>
      <c r="AT75" s="7">
        <v>39.0</v>
      </c>
      <c r="AU75" s="7">
        <v>199.917</v>
      </c>
      <c r="AV75" s="7">
        <v>71.0</v>
      </c>
      <c r="AW75" s="7">
        <v>10.0</v>
      </c>
      <c r="AX75" s="7">
        <v>21.0</v>
      </c>
      <c r="AY75" s="7">
        <v>0.0</v>
      </c>
      <c r="AZ75" s="7">
        <v>1.86</v>
      </c>
      <c r="BA75" s="7">
        <v>0.0</v>
      </c>
      <c r="BB75" s="7">
        <v>3.72</v>
      </c>
      <c r="BC75" s="7">
        <v>0.0</v>
      </c>
      <c r="BD75" s="7">
        <v>0.0</v>
      </c>
      <c r="BE75" s="7">
        <v>1.86</v>
      </c>
      <c r="BG75" s="10"/>
      <c r="BH75" s="12"/>
      <c r="BI75" s="12"/>
      <c r="BJ75" s="12">
        <f t="shared" si="1"/>
        <v>0.25</v>
      </c>
      <c r="BK75" s="12">
        <f t="shared" si="2"/>
        <v>0</v>
      </c>
      <c r="BL75" s="12">
        <f t="shared" si="3"/>
        <v>0</v>
      </c>
      <c r="BM75" s="13" t="str">
        <f t="shared" si="4"/>
        <v/>
      </c>
      <c r="BN75" s="13" t="str">
        <f t="shared" si="5"/>
        <v/>
      </c>
      <c r="BO75" s="12" t="str">
        <f t="shared" si="6"/>
        <v/>
      </c>
      <c r="BP75" s="14">
        <f t="shared" si="7"/>
        <v>0</v>
      </c>
    </row>
    <row r="76">
      <c r="A76" s="7" t="s">
        <v>165</v>
      </c>
      <c r="B76" s="7" t="s">
        <v>166</v>
      </c>
      <c r="C76" s="8">
        <v>46187.0</v>
      </c>
      <c r="D76" s="7" t="s">
        <v>167</v>
      </c>
      <c r="E76" s="7" t="s">
        <v>99</v>
      </c>
      <c r="F76" s="7" t="s">
        <v>70</v>
      </c>
      <c r="G76" s="7">
        <v>62.0</v>
      </c>
      <c r="H76" s="7">
        <v>72.0</v>
      </c>
      <c r="I76" s="7">
        <v>5.0</v>
      </c>
      <c r="J76" s="7" t="s">
        <v>117</v>
      </c>
      <c r="K76" s="7" t="b">
        <v>1</v>
      </c>
      <c r="L76" s="2">
        <v>19.833</v>
      </c>
      <c r="M76" s="9">
        <v>0.8263888888888888</v>
      </c>
      <c r="N76" s="7">
        <v>19.833</v>
      </c>
      <c r="O76" s="15">
        <v>0.8263888888888888</v>
      </c>
      <c r="P76" s="7">
        <v>3.0</v>
      </c>
      <c r="Q76" s="7">
        <v>0.0</v>
      </c>
      <c r="R76" s="7">
        <v>3.0</v>
      </c>
      <c r="S76" s="7">
        <v>1.0</v>
      </c>
      <c r="T76" s="7">
        <v>3.0</v>
      </c>
      <c r="U76" s="7">
        <v>0.0</v>
      </c>
      <c r="V76" s="7">
        <v>0.0</v>
      </c>
      <c r="W76" s="7">
        <v>1.0</v>
      </c>
      <c r="X76" s="7">
        <v>6.0</v>
      </c>
      <c r="Y76" s="7">
        <v>0.0</v>
      </c>
      <c r="Z76" s="7">
        <v>0.3333</v>
      </c>
      <c r="AB76" s="7">
        <v>0.25</v>
      </c>
      <c r="AC76" s="7">
        <v>0.25</v>
      </c>
      <c r="AD76" s="7">
        <v>0.0</v>
      </c>
      <c r="AE76" s="7">
        <v>0.5</v>
      </c>
      <c r="AF76" s="7">
        <v>0.5</v>
      </c>
      <c r="AG76" s="7">
        <v>2.0</v>
      </c>
      <c r="AH76" s="7">
        <v>1.0</v>
      </c>
      <c r="AI76" s="7">
        <v>2.0</v>
      </c>
      <c r="AJ76" s="7">
        <v>9.0</v>
      </c>
      <c r="AK76" s="7">
        <v>5.0</v>
      </c>
      <c r="AL76" s="7">
        <v>4.0</v>
      </c>
      <c r="AM76" s="7">
        <v>0.173</v>
      </c>
      <c r="AN76" s="7">
        <v>0.0</v>
      </c>
      <c r="AO76" s="7">
        <v>1.0</v>
      </c>
      <c r="AP76" s="7">
        <v>0.154</v>
      </c>
      <c r="AQ76" s="7">
        <v>0.1673</v>
      </c>
      <c r="AR76" s="7">
        <v>0.69</v>
      </c>
      <c r="AS76" s="7">
        <v>0.8</v>
      </c>
      <c r="AT76" s="7">
        <v>39.0</v>
      </c>
      <c r="AU76" s="7">
        <v>199.917</v>
      </c>
      <c r="AV76" s="7">
        <v>71.0</v>
      </c>
      <c r="AW76" s="7">
        <v>10.0</v>
      </c>
      <c r="AX76" s="7">
        <v>21.0</v>
      </c>
      <c r="AY76" s="7">
        <v>5.45</v>
      </c>
      <c r="AZ76" s="7">
        <v>16.34</v>
      </c>
      <c r="BA76" s="7">
        <v>3.63</v>
      </c>
      <c r="BB76" s="7">
        <v>3.63</v>
      </c>
      <c r="BC76" s="7">
        <v>1.82</v>
      </c>
      <c r="BD76" s="7">
        <v>0.0</v>
      </c>
      <c r="BE76" s="7">
        <v>1.82</v>
      </c>
      <c r="BF76" s="7" t="s">
        <v>103</v>
      </c>
      <c r="BG76" s="10"/>
      <c r="BH76" s="12"/>
      <c r="BI76" s="12"/>
      <c r="BJ76" s="12">
        <f t="shared" si="1"/>
        <v>0.25</v>
      </c>
      <c r="BK76" s="12">
        <f t="shared" si="2"/>
        <v>0</v>
      </c>
      <c r="BL76" s="12">
        <f t="shared" si="3"/>
        <v>0.5</v>
      </c>
      <c r="BM76" s="13">
        <f t="shared" si="4"/>
        <v>0</v>
      </c>
      <c r="BN76" s="13">
        <f t="shared" si="5"/>
        <v>1</v>
      </c>
      <c r="BO76" s="12">
        <f t="shared" si="6"/>
        <v>0</v>
      </c>
      <c r="BP76" s="14">
        <f t="shared" si="7"/>
        <v>1</v>
      </c>
    </row>
    <row r="77">
      <c r="A77" s="7" t="s">
        <v>165</v>
      </c>
      <c r="B77" s="7" t="s">
        <v>166</v>
      </c>
      <c r="C77" s="8">
        <v>46187.0</v>
      </c>
      <c r="D77" s="7" t="s">
        <v>167</v>
      </c>
      <c r="E77" s="7" t="s">
        <v>99</v>
      </c>
      <c r="F77" s="7" t="s">
        <v>70</v>
      </c>
      <c r="G77" s="7">
        <v>62.0</v>
      </c>
      <c r="H77" s="7">
        <v>72.0</v>
      </c>
      <c r="I77" s="7">
        <v>7.0</v>
      </c>
      <c r="J77" s="7" t="s">
        <v>118</v>
      </c>
      <c r="K77" s="7" t="b">
        <v>1</v>
      </c>
      <c r="L77" s="2">
        <v>23.833</v>
      </c>
      <c r="M77" s="9">
        <v>0.9930555555555556</v>
      </c>
      <c r="N77" s="7">
        <v>23.833</v>
      </c>
      <c r="O77" s="15">
        <v>0.9930555555555556</v>
      </c>
      <c r="P77" s="7">
        <v>6.0</v>
      </c>
      <c r="Q77" s="7">
        <v>1.0</v>
      </c>
      <c r="R77" s="7">
        <v>2.0</v>
      </c>
      <c r="S77" s="7">
        <v>1.0</v>
      </c>
      <c r="T77" s="7">
        <v>8.0</v>
      </c>
      <c r="U77" s="7">
        <v>1.0</v>
      </c>
      <c r="V77" s="7">
        <v>2.0</v>
      </c>
      <c r="W77" s="7">
        <v>2.0</v>
      </c>
      <c r="X77" s="7">
        <v>10.0</v>
      </c>
      <c r="Y77" s="7">
        <v>0.5</v>
      </c>
      <c r="Z77" s="7">
        <v>0.125</v>
      </c>
      <c r="AA77" s="7">
        <v>0.5</v>
      </c>
      <c r="AB77" s="7">
        <v>0.25</v>
      </c>
      <c r="AC77" s="7">
        <v>0.2757</v>
      </c>
      <c r="AD77" s="7">
        <v>1.0</v>
      </c>
      <c r="AE77" s="7">
        <v>0.2</v>
      </c>
      <c r="AF77" s="7">
        <v>0.8</v>
      </c>
      <c r="AG77" s="7">
        <v>1.0</v>
      </c>
      <c r="AH77" s="7">
        <v>2.0</v>
      </c>
      <c r="AI77" s="7">
        <v>4.0</v>
      </c>
      <c r="AJ77" s="7">
        <v>6.0</v>
      </c>
      <c r="AK77" s="7">
        <v>0.0</v>
      </c>
      <c r="AL77" s="7">
        <v>6.0</v>
      </c>
      <c r="AM77" s="7">
        <v>0.097</v>
      </c>
      <c r="AN77" s="7">
        <v>1.0</v>
      </c>
      <c r="AO77" s="7">
        <v>1.0</v>
      </c>
      <c r="AP77" s="7">
        <v>0.262</v>
      </c>
      <c r="AQ77" s="7">
        <v>0.259</v>
      </c>
      <c r="AR77" s="7">
        <v>0.71</v>
      </c>
      <c r="AS77" s="7">
        <v>0.82</v>
      </c>
      <c r="AT77" s="7">
        <v>48.0</v>
      </c>
      <c r="AU77" s="7">
        <v>199.917</v>
      </c>
      <c r="AV77" s="7">
        <v>71.0</v>
      </c>
      <c r="AW77" s="7">
        <v>10.0</v>
      </c>
      <c r="AX77" s="7">
        <v>21.0</v>
      </c>
      <c r="AY77" s="7">
        <v>9.06</v>
      </c>
      <c r="AZ77" s="7">
        <v>9.06</v>
      </c>
      <c r="BA77" s="7">
        <v>1.51</v>
      </c>
      <c r="BB77" s="7">
        <v>6.04</v>
      </c>
      <c r="BC77" s="7">
        <v>1.51</v>
      </c>
      <c r="BD77" s="7">
        <v>1.51</v>
      </c>
      <c r="BE77" s="7">
        <v>3.02</v>
      </c>
      <c r="BF77" s="7" t="s">
        <v>76</v>
      </c>
      <c r="BG77" s="10"/>
      <c r="BH77" s="12"/>
      <c r="BI77" s="12"/>
      <c r="BJ77" s="12">
        <f t="shared" si="1"/>
        <v>0.2688172043</v>
      </c>
      <c r="BK77" s="12">
        <f t="shared" si="2"/>
        <v>0.2</v>
      </c>
      <c r="BL77" s="12">
        <f t="shared" si="3"/>
        <v>0.6</v>
      </c>
      <c r="BM77" s="13">
        <f t="shared" si="4"/>
        <v>0.3333333333</v>
      </c>
      <c r="BN77" s="13">
        <f t="shared" si="5"/>
        <v>0.5</v>
      </c>
      <c r="BO77" s="12">
        <f t="shared" si="6"/>
        <v>0.1666666667</v>
      </c>
      <c r="BP77" s="14">
        <f t="shared" si="7"/>
        <v>0.25</v>
      </c>
    </row>
    <row r="78">
      <c r="A78" s="7" t="s">
        <v>165</v>
      </c>
      <c r="B78" s="7" t="s">
        <v>166</v>
      </c>
      <c r="C78" s="8">
        <v>46187.0</v>
      </c>
      <c r="D78" s="7" t="s">
        <v>167</v>
      </c>
      <c r="E78" s="7" t="s">
        <v>99</v>
      </c>
      <c r="F78" s="7" t="s">
        <v>70</v>
      </c>
      <c r="G78" s="7">
        <v>62.0</v>
      </c>
      <c r="H78" s="7">
        <v>72.0</v>
      </c>
      <c r="I78" s="7">
        <v>10.0</v>
      </c>
      <c r="J78" s="7" t="s">
        <v>119</v>
      </c>
      <c r="K78" s="7" t="b">
        <v>0</v>
      </c>
      <c r="L78" s="2">
        <v>24.283</v>
      </c>
      <c r="M78" s="9">
        <v>1.0118055555555556</v>
      </c>
      <c r="N78" s="7">
        <v>24.283</v>
      </c>
      <c r="O78" s="9">
        <v>1.0118055555555556</v>
      </c>
      <c r="P78" s="7">
        <v>10.0</v>
      </c>
      <c r="Q78" s="7">
        <v>2.0</v>
      </c>
      <c r="R78" s="7">
        <v>3.0</v>
      </c>
      <c r="S78" s="7">
        <v>1.0</v>
      </c>
      <c r="T78" s="7">
        <v>3.0</v>
      </c>
      <c r="U78" s="7">
        <v>3.0</v>
      </c>
      <c r="V78" s="7">
        <v>4.0</v>
      </c>
      <c r="W78" s="7">
        <v>3.0</v>
      </c>
      <c r="X78" s="7">
        <v>6.0</v>
      </c>
      <c r="Y78" s="7">
        <v>0.6667</v>
      </c>
      <c r="Z78" s="7">
        <v>0.3333</v>
      </c>
      <c r="AA78" s="7">
        <v>0.75</v>
      </c>
      <c r="AB78" s="7">
        <v>0.5833</v>
      </c>
      <c r="AC78" s="7">
        <v>0.6443</v>
      </c>
      <c r="AD78" s="7">
        <v>2.0</v>
      </c>
      <c r="AE78" s="7">
        <v>0.5</v>
      </c>
      <c r="AF78" s="7">
        <v>0.5</v>
      </c>
      <c r="AG78" s="7">
        <v>1.0</v>
      </c>
      <c r="AH78" s="7">
        <v>1.0</v>
      </c>
      <c r="AI78" s="7">
        <v>4.0</v>
      </c>
      <c r="AJ78" s="7">
        <v>3.0</v>
      </c>
      <c r="AK78" s="7">
        <v>0.0</v>
      </c>
      <c r="AL78" s="7">
        <v>3.0</v>
      </c>
      <c r="AM78" s="7">
        <v>0.059</v>
      </c>
      <c r="AN78" s="7">
        <v>1.0</v>
      </c>
      <c r="AO78" s="7">
        <v>1.0</v>
      </c>
      <c r="AP78" s="7">
        <v>0.226</v>
      </c>
      <c r="AQ78" s="7">
        <v>0.2009</v>
      </c>
      <c r="AR78" s="7">
        <v>0.9</v>
      </c>
      <c r="AS78" s="7">
        <v>0.98</v>
      </c>
      <c r="AT78" s="7">
        <v>48.0</v>
      </c>
      <c r="AU78" s="7">
        <v>199.917</v>
      </c>
      <c r="AV78" s="7">
        <v>71.0</v>
      </c>
      <c r="AW78" s="7">
        <v>10.0</v>
      </c>
      <c r="AX78" s="7">
        <v>21.0</v>
      </c>
      <c r="AY78" s="7">
        <v>14.83</v>
      </c>
      <c r="AZ78" s="7">
        <v>4.45</v>
      </c>
      <c r="BA78" s="7">
        <v>1.48</v>
      </c>
      <c r="BB78" s="7">
        <v>5.93</v>
      </c>
      <c r="BC78" s="7">
        <v>1.48</v>
      </c>
      <c r="BD78" s="7">
        <v>1.48</v>
      </c>
      <c r="BE78" s="7">
        <v>1.48</v>
      </c>
      <c r="BF78" s="7" t="s">
        <v>76</v>
      </c>
      <c r="BG78" s="10"/>
      <c r="BH78" s="12"/>
      <c r="BI78" s="12"/>
      <c r="BJ78" s="12">
        <f t="shared" si="1"/>
        <v>0.3401360544</v>
      </c>
      <c r="BK78" s="12">
        <f t="shared" si="2"/>
        <v>0.6666666667</v>
      </c>
      <c r="BL78" s="12">
        <f t="shared" si="3"/>
        <v>1.666666667</v>
      </c>
      <c r="BM78" s="13">
        <f t="shared" si="4"/>
        <v>0.4</v>
      </c>
      <c r="BN78" s="13">
        <f t="shared" si="5"/>
        <v>0.3</v>
      </c>
      <c r="BO78" s="12">
        <f t="shared" si="6"/>
        <v>0.3</v>
      </c>
      <c r="BP78" s="14">
        <f t="shared" si="7"/>
        <v>0.25</v>
      </c>
    </row>
    <row r="79">
      <c r="A79" s="7" t="s">
        <v>165</v>
      </c>
      <c r="B79" s="7" t="s">
        <v>166</v>
      </c>
      <c r="C79" s="8">
        <v>46187.0</v>
      </c>
      <c r="D79" s="7" t="s">
        <v>167</v>
      </c>
      <c r="E79" s="7" t="s">
        <v>99</v>
      </c>
      <c r="F79" s="7" t="s">
        <v>70</v>
      </c>
      <c r="G79" s="7">
        <v>62.0</v>
      </c>
      <c r="H79" s="7">
        <v>72.0</v>
      </c>
      <c r="I79" s="7">
        <v>11.0</v>
      </c>
      <c r="J79" s="7" t="s">
        <v>120</v>
      </c>
      <c r="K79" s="7" t="b">
        <v>1</v>
      </c>
      <c r="L79" s="2">
        <v>11.267</v>
      </c>
      <c r="M79" s="9">
        <v>0.46944444444444444</v>
      </c>
      <c r="N79" s="7">
        <v>11.267</v>
      </c>
      <c r="O79" s="15">
        <v>0.46944444444444444</v>
      </c>
      <c r="P79" s="7">
        <v>0.0</v>
      </c>
      <c r="Q79" s="7">
        <v>0.0</v>
      </c>
      <c r="R79" s="7">
        <v>1.0</v>
      </c>
      <c r="S79" s="7">
        <v>0.0</v>
      </c>
      <c r="T79" s="7">
        <v>1.0</v>
      </c>
      <c r="U79" s="7">
        <v>0.0</v>
      </c>
      <c r="V79" s="7">
        <v>0.0</v>
      </c>
      <c r="W79" s="7">
        <v>0.0</v>
      </c>
      <c r="X79" s="7">
        <v>2.0</v>
      </c>
      <c r="Y79" s="7">
        <v>0.0</v>
      </c>
      <c r="Z79" s="7">
        <v>0.0</v>
      </c>
      <c r="AB79" s="7">
        <v>0.0</v>
      </c>
      <c r="AC79" s="7">
        <v>0.0</v>
      </c>
      <c r="AD79" s="7">
        <v>0.0</v>
      </c>
      <c r="AE79" s="7">
        <v>0.5</v>
      </c>
      <c r="AF79" s="7">
        <v>0.5</v>
      </c>
      <c r="AG79" s="7">
        <v>1.0</v>
      </c>
      <c r="AH79" s="7">
        <v>1.0</v>
      </c>
      <c r="AI79" s="7">
        <v>2.0</v>
      </c>
      <c r="AJ79" s="7">
        <v>4.0</v>
      </c>
      <c r="AK79" s="7">
        <v>2.0</v>
      </c>
      <c r="AL79" s="7">
        <v>2.0</v>
      </c>
      <c r="AM79" s="7">
        <v>0.138</v>
      </c>
      <c r="AN79" s="7">
        <v>0.0</v>
      </c>
      <c r="AO79" s="7">
        <v>0.0</v>
      </c>
      <c r="AP79" s="7">
        <v>0.138</v>
      </c>
      <c r="AQ79" s="7">
        <v>0.1473</v>
      </c>
      <c r="AR79" s="7">
        <v>0.64</v>
      </c>
      <c r="AS79" s="7">
        <v>0.88</v>
      </c>
      <c r="AT79" s="7">
        <v>25.0</v>
      </c>
      <c r="AU79" s="7">
        <v>199.917</v>
      </c>
      <c r="AV79" s="7">
        <v>71.0</v>
      </c>
      <c r="AW79" s="7">
        <v>10.0</v>
      </c>
      <c r="AX79" s="7">
        <v>21.0</v>
      </c>
      <c r="AY79" s="7">
        <v>0.0</v>
      </c>
      <c r="AZ79" s="7">
        <v>12.78</v>
      </c>
      <c r="BA79" s="7">
        <v>3.2</v>
      </c>
      <c r="BB79" s="7">
        <v>6.39</v>
      </c>
      <c r="BC79" s="7">
        <v>0.0</v>
      </c>
      <c r="BD79" s="7">
        <v>0.0</v>
      </c>
      <c r="BE79" s="7">
        <v>3.2</v>
      </c>
      <c r="BG79" s="10"/>
      <c r="BH79" s="12"/>
      <c r="BI79" s="12"/>
      <c r="BJ79" s="12">
        <f t="shared" si="1"/>
        <v>0.5</v>
      </c>
      <c r="BK79" s="12">
        <f t="shared" si="2"/>
        <v>0</v>
      </c>
      <c r="BL79" s="12">
        <f t="shared" si="3"/>
        <v>0</v>
      </c>
      <c r="BM79" s="13" t="str">
        <f t="shared" si="4"/>
        <v/>
      </c>
      <c r="BN79" s="13" t="str">
        <f t="shared" si="5"/>
        <v/>
      </c>
      <c r="BO79" s="12" t="str">
        <f t="shared" si="6"/>
        <v/>
      </c>
      <c r="BP79" s="14">
        <f t="shared" si="7"/>
        <v>0.5</v>
      </c>
    </row>
    <row r="80">
      <c r="A80" s="7" t="s">
        <v>165</v>
      </c>
      <c r="B80" s="7" t="s">
        <v>166</v>
      </c>
      <c r="C80" s="8">
        <v>46187.0</v>
      </c>
      <c r="D80" s="7" t="s">
        <v>167</v>
      </c>
      <c r="E80" s="7" t="s">
        <v>99</v>
      </c>
      <c r="F80" s="7" t="s">
        <v>70</v>
      </c>
      <c r="G80" s="7">
        <v>62.0</v>
      </c>
      <c r="H80" s="7">
        <v>72.0</v>
      </c>
      <c r="I80" s="7">
        <v>23.0</v>
      </c>
      <c r="J80" s="7" t="s">
        <v>121</v>
      </c>
      <c r="K80" s="7" t="b">
        <v>0</v>
      </c>
      <c r="L80" s="2">
        <v>19.733</v>
      </c>
      <c r="M80" s="9">
        <v>0.8222222222222222</v>
      </c>
      <c r="N80" s="7">
        <v>19.733</v>
      </c>
      <c r="O80" s="15">
        <v>0.8222222222222222</v>
      </c>
      <c r="P80" s="7">
        <v>7.0</v>
      </c>
      <c r="Q80" s="7">
        <v>3.0</v>
      </c>
      <c r="R80" s="7">
        <v>6.0</v>
      </c>
      <c r="S80" s="7">
        <v>0.0</v>
      </c>
      <c r="T80" s="7">
        <v>2.0</v>
      </c>
      <c r="U80" s="7">
        <v>1.0</v>
      </c>
      <c r="V80" s="7">
        <v>2.0</v>
      </c>
      <c r="W80" s="7">
        <v>3.0</v>
      </c>
      <c r="X80" s="7">
        <v>8.0</v>
      </c>
      <c r="Y80" s="7">
        <v>0.5</v>
      </c>
      <c r="Z80" s="7">
        <v>0.0</v>
      </c>
      <c r="AA80" s="7">
        <v>0.5</v>
      </c>
      <c r="AB80" s="7">
        <v>0.375</v>
      </c>
      <c r="AC80" s="7">
        <v>0.3941</v>
      </c>
      <c r="AD80" s="7">
        <v>1.0</v>
      </c>
      <c r="AE80" s="7">
        <v>0.75</v>
      </c>
      <c r="AF80" s="7">
        <v>0.25</v>
      </c>
      <c r="AG80" s="7">
        <v>0.0</v>
      </c>
      <c r="AH80" s="7">
        <v>0.0</v>
      </c>
      <c r="AI80" s="7">
        <v>0.0</v>
      </c>
      <c r="AJ80" s="7">
        <v>7.0</v>
      </c>
      <c r="AK80" s="7">
        <v>3.0</v>
      </c>
      <c r="AL80" s="7">
        <v>4.0</v>
      </c>
      <c r="AM80" s="7">
        <v>0.171</v>
      </c>
      <c r="AN80" s="7">
        <v>0.0</v>
      </c>
      <c r="AO80" s="7">
        <v>1.0</v>
      </c>
      <c r="AP80" s="7">
        <v>0.222</v>
      </c>
      <c r="AQ80" s="7">
        <v>0.1866</v>
      </c>
      <c r="AR80" s="7">
        <v>0.66</v>
      </c>
      <c r="AS80" s="7">
        <v>1.05</v>
      </c>
      <c r="AT80" s="7">
        <v>38.0</v>
      </c>
      <c r="AU80" s="7">
        <v>199.917</v>
      </c>
      <c r="AV80" s="7">
        <v>71.0</v>
      </c>
      <c r="AW80" s="7">
        <v>10.0</v>
      </c>
      <c r="AX80" s="7">
        <v>21.0</v>
      </c>
      <c r="AY80" s="7">
        <v>12.77</v>
      </c>
      <c r="AZ80" s="7">
        <v>12.77</v>
      </c>
      <c r="BA80" s="7">
        <v>0.0</v>
      </c>
      <c r="BB80" s="7">
        <v>0.0</v>
      </c>
      <c r="BC80" s="7">
        <v>1.82</v>
      </c>
      <c r="BD80" s="7">
        <v>0.0</v>
      </c>
      <c r="BE80" s="7">
        <v>0.0</v>
      </c>
      <c r="BF80" s="7" t="s">
        <v>86</v>
      </c>
      <c r="BG80" s="10"/>
      <c r="BH80" s="12"/>
      <c r="BI80" s="12"/>
      <c r="BJ80" s="12">
        <f t="shared" si="1"/>
        <v>0</v>
      </c>
      <c r="BK80" s="12">
        <f t="shared" si="2"/>
        <v>0.25</v>
      </c>
      <c r="BL80" s="12">
        <f t="shared" si="3"/>
        <v>0.875</v>
      </c>
      <c r="BM80" s="13">
        <f t="shared" si="4"/>
        <v>0.8571428571</v>
      </c>
      <c r="BN80" s="13">
        <f t="shared" si="5"/>
        <v>0</v>
      </c>
      <c r="BO80" s="12">
        <f t="shared" si="6"/>
        <v>0.1428571429</v>
      </c>
      <c r="BP80" s="14" t="str">
        <f t="shared" si="7"/>
        <v/>
      </c>
    </row>
    <row r="81">
      <c r="A81" s="7" t="s">
        <v>165</v>
      </c>
      <c r="B81" s="7" t="s">
        <v>166</v>
      </c>
      <c r="C81" s="8">
        <v>46187.0</v>
      </c>
      <c r="D81" s="7" t="s">
        <v>167</v>
      </c>
      <c r="E81" s="7" t="s">
        <v>99</v>
      </c>
      <c r="F81" s="7" t="s">
        <v>70</v>
      </c>
      <c r="G81" s="7">
        <v>62.0</v>
      </c>
      <c r="H81" s="7">
        <v>72.0</v>
      </c>
      <c r="I81" s="7">
        <v>24.0</v>
      </c>
      <c r="J81" s="7" t="s">
        <v>122</v>
      </c>
      <c r="K81" s="7" t="b">
        <v>1</v>
      </c>
      <c r="L81" s="2">
        <v>24.917</v>
      </c>
      <c r="M81" s="9">
        <v>1.0381944444444444</v>
      </c>
      <c r="N81" s="7">
        <v>24.917</v>
      </c>
      <c r="O81" s="9">
        <v>1.0381944444444444</v>
      </c>
      <c r="P81" s="7">
        <v>6.0</v>
      </c>
      <c r="Q81" s="7">
        <v>3.0</v>
      </c>
      <c r="R81" s="7">
        <v>9.0</v>
      </c>
      <c r="S81" s="7">
        <v>0.0</v>
      </c>
      <c r="T81" s="7">
        <v>0.0</v>
      </c>
      <c r="U81" s="7">
        <v>0.0</v>
      </c>
      <c r="V81" s="7">
        <v>1.0</v>
      </c>
      <c r="W81" s="7">
        <v>3.0</v>
      </c>
      <c r="X81" s="7">
        <v>9.0</v>
      </c>
      <c r="Y81" s="7">
        <v>0.3333</v>
      </c>
      <c r="AA81" s="7">
        <v>0.0</v>
      </c>
      <c r="AB81" s="7">
        <v>0.3333</v>
      </c>
      <c r="AC81" s="7">
        <v>0.3178</v>
      </c>
      <c r="AD81" s="7">
        <v>0.0</v>
      </c>
      <c r="AE81" s="7">
        <v>1.0</v>
      </c>
      <c r="AF81" s="7">
        <v>0.0</v>
      </c>
      <c r="AG81" s="7">
        <v>3.0</v>
      </c>
      <c r="AH81" s="7">
        <v>1.0</v>
      </c>
      <c r="AI81" s="7">
        <v>0.0</v>
      </c>
      <c r="AJ81" s="7">
        <v>4.0</v>
      </c>
      <c r="AK81" s="7">
        <v>1.0</v>
      </c>
      <c r="AL81" s="7">
        <v>3.0</v>
      </c>
      <c r="AM81" s="7">
        <v>0.068</v>
      </c>
      <c r="AN81" s="7">
        <v>1.0</v>
      </c>
      <c r="AO81" s="7">
        <v>0.0</v>
      </c>
      <c r="AP81" s="7">
        <v>0.177</v>
      </c>
      <c r="AQ81" s="7">
        <v>0.1571</v>
      </c>
      <c r="AR81" s="7">
        <v>0.89</v>
      </c>
      <c r="AS81" s="7">
        <v>0.72</v>
      </c>
      <c r="AT81" s="7">
        <v>47.0</v>
      </c>
      <c r="AU81" s="7">
        <v>199.917</v>
      </c>
      <c r="AV81" s="7">
        <v>71.0</v>
      </c>
      <c r="AW81" s="7">
        <v>10.0</v>
      </c>
      <c r="AX81" s="7">
        <v>21.0</v>
      </c>
      <c r="AY81" s="7">
        <v>8.67</v>
      </c>
      <c r="AZ81" s="7">
        <v>5.78</v>
      </c>
      <c r="BA81" s="7">
        <v>4.33</v>
      </c>
      <c r="BB81" s="7">
        <v>0.0</v>
      </c>
      <c r="BC81" s="7">
        <v>0.0</v>
      </c>
      <c r="BD81" s="7">
        <v>1.44</v>
      </c>
      <c r="BE81" s="7">
        <v>1.44</v>
      </c>
      <c r="BF81" s="7" t="s">
        <v>79</v>
      </c>
      <c r="BG81" s="10"/>
      <c r="BH81" s="12"/>
      <c r="BI81" s="12"/>
      <c r="BJ81" s="12">
        <f t="shared" si="1"/>
        <v>0</v>
      </c>
      <c r="BK81" s="12">
        <f t="shared" si="2"/>
        <v>0.1111111111</v>
      </c>
      <c r="BL81" s="12">
        <f t="shared" si="3"/>
        <v>0.6666666667</v>
      </c>
      <c r="BM81" s="13">
        <f t="shared" si="4"/>
        <v>1</v>
      </c>
      <c r="BN81" s="13">
        <f t="shared" si="5"/>
        <v>0</v>
      </c>
      <c r="BO81" s="12">
        <f t="shared" si="6"/>
        <v>0</v>
      </c>
      <c r="BP81" s="14" t="str">
        <f t="shared" si="7"/>
        <v/>
      </c>
    </row>
    <row r="82">
      <c r="A82" s="7" t="s">
        <v>165</v>
      </c>
      <c r="B82" s="7" t="s">
        <v>166</v>
      </c>
      <c r="C82" s="8">
        <v>46187.0</v>
      </c>
      <c r="D82" s="7" t="s">
        <v>167</v>
      </c>
      <c r="E82" s="7" t="s">
        <v>70</v>
      </c>
      <c r="F82" s="7" t="s">
        <v>99</v>
      </c>
      <c r="G82" s="7">
        <v>72.0</v>
      </c>
      <c r="H82" s="7">
        <v>62.0</v>
      </c>
      <c r="I82" s="7">
        <v>0.0</v>
      </c>
      <c r="J82" s="7" t="s">
        <v>72</v>
      </c>
      <c r="K82" s="7" t="b">
        <v>1</v>
      </c>
      <c r="L82" s="2">
        <v>26.983</v>
      </c>
      <c r="M82" s="9">
        <v>1.1243055555555554</v>
      </c>
      <c r="N82" s="7">
        <v>26.983</v>
      </c>
      <c r="O82" s="9">
        <v>1.1243055555555554</v>
      </c>
      <c r="P82" s="7">
        <v>7.0</v>
      </c>
      <c r="Q82" s="7">
        <v>1.0</v>
      </c>
      <c r="R82" s="7">
        <v>4.0</v>
      </c>
      <c r="S82" s="7">
        <v>1.0</v>
      </c>
      <c r="T82" s="7">
        <v>2.0</v>
      </c>
      <c r="U82" s="7">
        <v>2.0</v>
      </c>
      <c r="V82" s="7">
        <v>2.0</v>
      </c>
      <c r="W82" s="7">
        <v>2.0</v>
      </c>
      <c r="X82" s="7">
        <v>6.0</v>
      </c>
      <c r="Y82" s="7">
        <v>0.25</v>
      </c>
      <c r="Z82" s="7">
        <v>0.5</v>
      </c>
      <c r="AA82" s="7">
        <v>1.0</v>
      </c>
      <c r="AB82" s="7">
        <v>0.4167</v>
      </c>
      <c r="AC82" s="7">
        <v>0.5087</v>
      </c>
      <c r="AD82" s="7">
        <v>1.0</v>
      </c>
      <c r="AE82" s="7">
        <v>0.667</v>
      </c>
      <c r="AF82" s="7">
        <v>0.333</v>
      </c>
      <c r="AG82" s="7">
        <v>0.0</v>
      </c>
      <c r="AH82" s="7">
        <v>2.0</v>
      </c>
      <c r="AI82" s="7">
        <v>4.0</v>
      </c>
      <c r="AJ82" s="7">
        <v>4.0</v>
      </c>
      <c r="AK82" s="7">
        <v>1.0</v>
      </c>
      <c r="AL82" s="7">
        <v>3.0</v>
      </c>
      <c r="AM82" s="7">
        <v>0.063</v>
      </c>
      <c r="AN82" s="7">
        <v>0.0</v>
      </c>
      <c r="AO82" s="7">
        <v>3.0</v>
      </c>
      <c r="AP82" s="7">
        <v>0.194</v>
      </c>
      <c r="AQ82" s="7">
        <v>0.1796</v>
      </c>
      <c r="AR82" s="7">
        <v>0.85</v>
      </c>
      <c r="AS82" s="7">
        <v>0.92</v>
      </c>
      <c r="AU82" s="7">
        <v>199.95</v>
      </c>
      <c r="AV82" s="7">
        <v>70.0</v>
      </c>
      <c r="AW82" s="7">
        <v>20.0</v>
      </c>
      <c r="AX82" s="7">
        <v>11.0</v>
      </c>
      <c r="AY82" s="7">
        <v>9.34</v>
      </c>
      <c r="AZ82" s="7">
        <v>5.34</v>
      </c>
      <c r="BA82" s="7">
        <v>0.0</v>
      </c>
      <c r="BB82" s="7">
        <v>5.34</v>
      </c>
      <c r="BC82" s="7">
        <v>4.0</v>
      </c>
      <c r="BD82" s="7">
        <v>0.0</v>
      </c>
      <c r="BE82" s="7">
        <v>2.67</v>
      </c>
      <c r="BF82" s="7" t="s">
        <v>76</v>
      </c>
      <c r="BG82" s="10"/>
      <c r="BH82" s="12"/>
      <c r="BI82" s="12"/>
      <c r="BJ82" s="12">
        <f t="shared" si="1"/>
        <v>0.3676470588</v>
      </c>
      <c r="BK82" s="12">
        <f t="shared" si="2"/>
        <v>0.3333333333</v>
      </c>
      <c r="BL82" s="12">
        <f t="shared" si="3"/>
        <v>1.166666667</v>
      </c>
      <c r="BM82" s="13">
        <f t="shared" si="4"/>
        <v>0.2857142857</v>
      </c>
      <c r="BN82" s="13">
        <f t="shared" si="5"/>
        <v>0.4285714286</v>
      </c>
      <c r="BO82" s="12">
        <f t="shared" si="6"/>
        <v>0.2857142857</v>
      </c>
      <c r="BP82" s="14">
        <f t="shared" si="7"/>
        <v>0</v>
      </c>
    </row>
    <row r="83">
      <c r="A83" s="7" t="s">
        <v>165</v>
      </c>
      <c r="B83" s="7" t="s">
        <v>166</v>
      </c>
      <c r="C83" s="8">
        <v>46187.0</v>
      </c>
      <c r="D83" s="7" t="s">
        <v>167</v>
      </c>
      <c r="E83" s="7" t="s">
        <v>70</v>
      </c>
      <c r="F83" s="7" t="s">
        <v>99</v>
      </c>
      <c r="G83" s="7">
        <v>72.0</v>
      </c>
      <c r="H83" s="7">
        <v>62.0</v>
      </c>
      <c r="I83" s="7">
        <v>2.0</v>
      </c>
      <c r="J83" s="7" t="s">
        <v>74</v>
      </c>
      <c r="K83" s="7" t="b">
        <v>0</v>
      </c>
      <c r="L83" s="2">
        <v>15.75</v>
      </c>
      <c r="M83" s="9">
        <v>0.65625</v>
      </c>
      <c r="N83" s="7">
        <v>15.75</v>
      </c>
      <c r="O83" s="15">
        <v>0.65625</v>
      </c>
      <c r="P83" s="7">
        <v>0.0</v>
      </c>
      <c r="Q83" s="7">
        <v>0.0</v>
      </c>
      <c r="R83" s="7">
        <v>2.0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2.0</v>
      </c>
      <c r="Y83" s="7">
        <v>0.0</v>
      </c>
      <c r="AB83" s="7">
        <v>0.0</v>
      </c>
      <c r="AC83" s="7">
        <v>0.0</v>
      </c>
      <c r="AD83" s="7">
        <v>0.0</v>
      </c>
      <c r="AE83" s="7">
        <v>1.0</v>
      </c>
      <c r="AF83" s="7">
        <v>0.0</v>
      </c>
      <c r="AG83" s="7">
        <v>0.0</v>
      </c>
      <c r="AH83" s="7">
        <v>1.0</v>
      </c>
      <c r="AI83" s="7">
        <v>1.0</v>
      </c>
      <c r="AJ83" s="7">
        <v>2.0</v>
      </c>
      <c r="AK83" s="7">
        <v>2.0</v>
      </c>
      <c r="AL83" s="7">
        <v>0.0</v>
      </c>
      <c r="AM83" s="7">
        <v>0.054</v>
      </c>
      <c r="AN83" s="7">
        <v>0.0</v>
      </c>
      <c r="AO83" s="7">
        <v>1.0</v>
      </c>
      <c r="AP83" s="7">
        <v>0.098</v>
      </c>
      <c r="AQ83" s="7">
        <v>0.0848</v>
      </c>
      <c r="AR83" s="7">
        <v>0.91</v>
      </c>
      <c r="AS83" s="7">
        <v>0.44</v>
      </c>
      <c r="AU83" s="7">
        <v>199.95</v>
      </c>
      <c r="AV83" s="7">
        <v>70.0</v>
      </c>
      <c r="AW83" s="7">
        <v>20.0</v>
      </c>
      <c r="AX83" s="7">
        <v>11.0</v>
      </c>
      <c r="AY83" s="7">
        <v>0.0</v>
      </c>
      <c r="AZ83" s="7">
        <v>4.57</v>
      </c>
      <c r="BA83" s="7">
        <v>0.0</v>
      </c>
      <c r="BB83" s="7">
        <v>2.29</v>
      </c>
      <c r="BC83" s="7">
        <v>2.29</v>
      </c>
      <c r="BD83" s="7">
        <v>0.0</v>
      </c>
      <c r="BE83" s="7">
        <v>2.29</v>
      </c>
      <c r="BG83" s="10"/>
      <c r="BH83" s="12"/>
      <c r="BI83" s="12"/>
      <c r="BJ83" s="12">
        <f t="shared" si="1"/>
        <v>0.3333333333</v>
      </c>
      <c r="BK83" s="12">
        <f t="shared" si="2"/>
        <v>0</v>
      </c>
      <c r="BL83" s="12">
        <f t="shared" si="3"/>
        <v>0</v>
      </c>
      <c r="BM83" s="13" t="str">
        <f t="shared" si="4"/>
        <v/>
      </c>
      <c r="BN83" s="13" t="str">
        <f t="shared" si="5"/>
        <v/>
      </c>
      <c r="BO83" s="12" t="str">
        <f t="shared" si="6"/>
        <v/>
      </c>
      <c r="BP83" s="14">
        <f t="shared" si="7"/>
        <v>0</v>
      </c>
    </row>
    <row r="84">
      <c r="A84" s="7" t="s">
        <v>165</v>
      </c>
      <c r="B84" s="7" t="s">
        <v>166</v>
      </c>
      <c r="C84" s="8">
        <v>46187.0</v>
      </c>
      <c r="D84" s="7" t="s">
        <v>167</v>
      </c>
      <c r="E84" s="7" t="s">
        <v>70</v>
      </c>
      <c r="F84" s="7" t="s">
        <v>99</v>
      </c>
      <c r="G84" s="7">
        <v>72.0</v>
      </c>
      <c r="H84" s="7">
        <v>62.0</v>
      </c>
      <c r="I84" s="7">
        <v>3.0</v>
      </c>
      <c r="J84" s="7" t="s">
        <v>75</v>
      </c>
      <c r="K84" s="7" t="b">
        <v>1</v>
      </c>
      <c r="L84" s="2">
        <v>32.15</v>
      </c>
      <c r="M84" s="9">
        <v>1.3395833333333333</v>
      </c>
      <c r="N84" s="7">
        <v>32.15</v>
      </c>
      <c r="O84" s="9">
        <v>1.3395833333333333</v>
      </c>
      <c r="P84" s="7">
        <v>13.0</v>
      </c>
      <c r="Q84" s="7">
        <v>2.0</v>
      </c>
      <c r="R84" s="7">
        <v>9.0</v>
      </c>
      <c r="S84" s="7">
        <v>2.0</v>
      </c>
      <c r="T84" s="7">
        <v>5.0</v>
      </c>
      <c r="U84" s="7">
        <v>3.0</v>
      </c>
      <c r="V84" s="7">
        <v>3.0</v>
      </c>
      <c r="W84" s="7">
        <v>4.0</v>
      </c>
      <c r="X84" s="7">
        <v>14.0</v>
      </c>
      <c r="Y84" s="7">
        <v>0.2222</v>
      </c>
      <c r="Z84" s="7">
        <v>0.4</v>
      </c>
      <c r="AA84" s="7">
        <v>1.0</v>
      </c>
      <c r="AB84" s="7">
        <v>0.3571</v>
      </c>
      <c r="AC84" s="7">
        <v>0.4243</v>
      </c>
      <c r="AD84" s="7">
        <v>0.0</v>
      </c>
      <c r="AE84" s="7">
        <v>0.643</v>
      </c>
      <c r="AF84" s="7">
        <v>0.357</v>
      </c>
      <c r="AG84" s="7">
        <v>8.0</v>
      </c>
      <c r="AH84" s="7">
        <v>1.0</v>
      </c>
      <c r="AI84" s="7">
        <v>1.0</v>
      </c>
      <c r="AJ84" s="7">
        <v>9.0</v>
      </c>
      <c r="AK84" s="7">
        <v>0.0</v>
      </c>
      <c r="AL84" s="7">
        <v>9.0</v>
      </c>
      <c r="AM84" s="7">
        <v>0.12</v>
      </c>
      <c r="AN84" s="7">
        <v>0.0</v>
      </c>
      <c r="AO84" s="7">
        <v>2.0</v>
      </c>
      <c r="AP84" s="7">
        <v>0.241</v>
      </c>
      <c r="AQ84" s="7">
        <v>0.2261</v>
      </c>
      <c r="AR84" s="7">
        <v>0.94</v>
      </c>
      <c r="AS84" s="7">
        <v>0.71</v>
      </c>
      <c r="AU84" s="7">
        <v>199.95</v>
      </c>
      <c r="AV84" s="7">
        <v>70.0</v>
      </c>
      <c r="AW84" s="7">
        <v>20.0</v>
      </c>
      <c r="AX84" s="7">
        <v>11.0</v>
      </c>
      <c r="AY84" s="7">
        <v>14.56</v>
      </c>
      <c r="AZ84" s="7">
        <v>10.08</v>
      </c>
      <c r="BA84" s="7">
        <v>8.96</v>
      </c>
      <c r="BB84" s="7">
        <v>1.12</v>
      </c>
      <c r="BC84" s="7">
        <v>2.24</v>
      </c>
      <c r="BD84" s="7">
        <v>0.0</v>
      </c>
      <c r="BE84" s="7">
        <v>1.12</v>
      </c>
      <c r="BF84" s="7" t="s">
        <v>76</v>
      </c>
      <c r="BG84" s="10"/>
      <c r="BH84" s="12"/>
      <c r="BI84" s="12"/>
      <c r="BJ84" s="12">
        <f t="shared" si="1"/>
        <v>0.0612745098</v>
      </c>
      <c r="BK84" s="12">
        <f t="shared" si="2"/>
        <v>0.2142857143</v>
      </c>
      <c r="BL84" s="12">
        <f t="shared" si="3"/>
        <v>0.9285714286</v>
      </c>
      <c r="BM84" s="13">
        <f t="shared" si="4"/>
        <v>0.3076923077</v>
      </c>
      <c r="BN84" s="13">
        <f t="shared" si="5"/>
        <v>0.4615384615</v>
      </c>
      <c r="BO84" s="12">
        <f t="shared" si="6"/>
        <v>0.2307692308</v>
      </c>
      <c r="BP84" s="14">
        <f t="shared" si="7"/>
        <v>8</v>
      </c>
    </row>
    <row r="85">
      <c r="A85" s="7" t="s">
        <v>165</v>
      </c>
      <c r="B85" s="7" t="s">
        <v>166</v>
      </c>
      <c r="C85" s="8">
        <v>46187.0</v>
      </c>
      <c r="D85" s="7" t="s">
        <v>167</v>
      </c>
      <c r="E85" s="7" t="s">
        <v>70</v>
      </c>
      <c r="F85" s="7" t="s">
        <v>99</v>
      </c>
      <c r="G85" s="7">
        <v>72.0</v>
      </c>
      <c r="H85" s="7">
        <v>62.0</v>
      </c>
      <c r="I85" s="7">
        <v>5.0</v>
      </c>
      <c r="J85" s="7" t="s">
        <v>78</v>
      </c>
      <c r="K85" s="7" t="b">
        <v>0</v>
      </c>
      <c r="L85" s="2">
        <v>16.517</v>
      </c>
      <c r="M85" s="9">
        <v>0.6881944444444444</v>
      </c>
      <c r="N85" s="7">
        <v>16.517</v>
      </c>
      <c r="O85" s="15">
        <v>0.6881944444444444</v>
      </c>
      <c r="P85" s="7">
        <v>1.0</v>
      </c>
      <c r="Q85" s="7">
        <v>0.0</v>
      </c>
      <c r="R85" s="7">
        <v>3.0</v>
      </c>
      <c r="S85" s="7">
        <v>0.0</v>
      </c>
      <c r="T85" s="7">
        <v>0.0</v>
      </c>
      <c r="U85" s="7">
        <v>1.0</v>
      </c>
      <c r="V85" s="7">
        <v>1.0</v>
      </c>
      <c r="W85" s="7">
        <v>0.0</v>
      </c>
      <c r="X85" s="7">
        <v>3.0</v>
      </c>
      <c r="Y85" s="7">
        <v>0.0</v>
      </c>
      <c r="AA85" s="7">
        <v>1.0</v>
      </c>
      <c r="AB85" s="7">
        <v>0.0</v>
      </c>
      <c r="AC85" s="7">
        <v>0.1453</v>
      </c>
      <c r="AD85" s="7">
        <v>0.0</v>
      </c>
      <c r="AE85" s="7">
        <v>1.0</v>
      </c>
      <c r="AF85" s="7">
        <v>0.0</v>
      </c>
      <c r="AG85" s="7">
        <v>0.0</v>
      </c>
      <c r="AH85" s="7">
        <v>2.0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1.0</v>
      </c>
      <c r="AO85" s="7">
        <v>1.0</v>
      </c>
      <c r="AP85" s="7">
        <v>0.15</v>
      </c>
      <c r="AQ85" s="7">
        <v>0.0927</v>
      </c>
      <c r="AR85" s="7">
        <v>0.97</v>
      </c>
      <c r="AS85" s="7">
        <v>0.59</v>
      </c>
      <c r="AU85" s="7">
        <v>199.95</v>
      </c>
      <c r="AV85" s="7">
        <v>70.0</v>
      </c>
      <c r="AW85" s="7">
        <v>20.0</v>
      </c>
      <c r="AX85" s="7">
        <v>11.0</v>
      </c>
      <c r="AY85" s="7">
        <v>2.18</v>
      </c>
      <c r="AZ85" s="7">
        <v>0.0</v>
      </c>
      <c r="BA85" s="7">
        <v>0.0</v>
      </c>
      <c r="BB85" s="7">
        <v>0.0</v>
      </c>
      <c r="BC85" s="7">
        <v>2.18</v>
      </c>
      <c r="BD85" s="7">
        <v>2.18</v>
      </c>
      <c r="BE85" s="7">
        <v>4.36</v>
      </c>
      <c r="BF85" s="7" t="s">
        <v>73</v>
      </c>
      <c r="BG85" s="10"/>
      <c r="BH85" s="12"/>
      <c r="BI85" s="12"/>
      <c r="BJ85" s="12">
        <f t="shared" si="1"/>
        <v>0</v>
      </c>
      <c r="BK85" s="12">
        <f t="shared" si="2"/>
        <v>0.3333333333</v>
      </c>
      <c r="BL85" s="12">
        <f t="shared" si="3"/>
        <v>0.3333333333</v>
      </c>
      <c r="BM85" s="13">
        <f t="shared" si="4"/>
        <v>0</v>
      </c>
      <c r="BN85" s="13">
        <f t="shared" si="5"/>
        <v>0</v>
      </c>
      <c r="BO85" s="12">
        <f t="shared" si="6"/>
        <v>1</v>
      </c>
      <c r="BP85" s="14" t="str">
        <f t="shared" si="7"/>
        <v/>
      </c>
    </row>
    <row r="86">
      <c r="A86" s="7" t="s">
        <v>165</v>
      </c>
      <c r="B86" s="7" t="s">
        <v>166</v>
      </c>
      <c r="C86" s="8">
        <v>46187.0</v>
      </c>
      <c r="D86" s="7" t="s">
        <v>167</v>
      </c>
      <c r="E86" s="7" t="s">
        <v>70</v>
      </c>
      <c r="F86" s="7" t="s">
        <v>99</v>
      </c>
      <c r="G86" s="7">
        <v>72.0</v>
      </c>
      <c r="H86" s="7">
        <v>62.0</v>
      </c>
      <c r="I86" s="7">
        <v>7.0</v>
      </c>
      <c r="J86" s="7" t="s">
        <v>80</v>
      </c>
      <c r="K86" s="7" t="b">
        <v>1</v>
      </c>
      <c r="L86" s="2">
        <v>36.733</v>
      </c>
      <c r="M86" s="9">
        <v>1.5305555555555554</v>
      </c>
      <c r="N86" s="7">
        <v>36.733</v>
      </c>
      <c r="O86" s="9">
        <v>1.5305555555555554</v>
      </c>
      <c r="P86" s="7">
        <v>12.0</v>
      </c>
      <c r="Q86" s="7">
        <v>3.0</v>
      </c>
      <c r="R86" s="7">
        <v>6.0</v>
      </c>
      <c r="S86" s="7">
        <v>2.0</v>
      </c>
      <c r="T86" s="7">
        <v>11.0</v>
      </c>
      <c r="U86" s="7">
        <v>0.0</v>
      </c>
      <c r="V86" s="7">
        <v>0.0</v>
      </c>
      <c r="W86" s="7">
        <v>5.0</v>
      </c>
      <c r="X86" s="7">
        <v>17.0</v>
      </c>
      <c r="Y86" s="7">
        <v>0.5</v>
      </c>
      <c r="Z86" s="7">
        <v>0.1818</v>
      </c>
      <c r="AB86" s="7">
        <v>0.3529</v>
      </c>
      <c r="AC86" s="7">
        <v>0.3529</v>
      </c>
      <c r="AD86" s="7">
        <v>0.0</v>
      </c>
      <c r="AE86" s="7">
        <v>0.353</v>
      </c>
      <c r="AF86" s="7">
        <v>0.647</v>
      </c>
      <c r="AG86" s="7">
        <v>0.0</v>
      </c>
      <c r="AH86" s="7">
        <v>2.0</v>
      </c>
      <c r="AI86" s="7">
        <v>1.0</v>
      </c>
      <c r="AJ86" s="7">
        <v>2.0</v>
      </c>
      <c r="AK86" s="7">
        <v>0.0</v>
      </c>
      <c r="AL86" s="7">
        <v>2.0</v>
      </c>
      <c r="AM86" s="7">
        <v>0.023</v>
      </c>
      <c r="AN86" s="7">
        <v>1.0</v>
      </c>
      <c r="AO86" s="7">
        <v>2.0</v>
      </c>
      <c r="AP86" s="7">
        <v>0.2</v>
      </c>
      <c r="AQ86" s="7">
        <v>0.2182</v>
      </c>
      <c r="AR86" s="7">
        <v>0.84</v>
      </c>
      <c r="AS86" s="7">
        <v>0.85</v>
      </c>
      <c r="AU86" s="7">
        <v>199.95</v>
      </c>
      <c r="AV86" s="7">
        <v>70.0</v>
      </c>
      <c r="AW86" s="7">
        <v>20.0</v>
      </c>
      <c r="AX86" s="7">
        <v>11.0</v>
      </c>
      <c r="AY86" s="7">
        <v>11.76</v>
      </c>
      <c r="AZ86" s="7">
        <v>1.96</v>
      </c>
      <c r="BA86" s="7">
        <v>0.0</v>
      </c>
      <c r="BB86" s="7">
        <v>0.98</v>
      </c>
      <c r="BC86" s="7">
        <v>1.96</v>
      </c>
      <c r="BD86" s="7">
        <v>0.98</v>
      </c>
      <c r="BE86" s="7">
        <v>1.96</v>
      </c>
      <c r="BF86" s="7" t="s">
        <v>84</v>
      </c>
      <c r="BG86" s="10"/>
      <c r="BH86" s="12"/>
      <c r="BI86" s="12"/>
      <c r="BJ86" s="12">
        <f t="shared" si="1"/>
        <v>0.05555555556</v>
      </c>
      <c r="BK86" s="12">
        <f t="shared" si="2"/>
        <v>0</v>
      </c>
      <c r="BL86" s="12">
        <f t="shared" si="3"/>
        <v>0.7058823529</v>
      </c>
      <c r="BM86" s="13">
        <f t="shared" si="4"/>
        <v>0.5</v>
      </c>
      <c r="BN86" s="13">
        <f t="shared" si="5"/>
        <v>0.5</v>
      </c>
      <c r="BO86" s="12">
        <f t="shared" si="6"/>
        <v>0</v>
      </c>
      <c r="BP86" s="14">
        <f t="shared" si="7"/>
        <v>0</v>
      </c>
    </row>
    <row r="87">
      <c r="A87" s="7" t="s">
        <v>165</v>
      </c>
      <c r="B87" s="7" t="s">
        <v>166</v>
      </c>
      <c r="C87" s="8">
        <v>46187.0</v>
      </c>
      <c r="D87" s="7" t="s">
        <v>167</v>
      </c>
      <c r="E87" s="7" t="s">
        <v>70</v>
      </c>
      <c r="F87" s="7" t="s">
        <v>99</v>
      </c>
      <c r="G87" s="7">
        <v>72.0</v>
      </c>
      <c r="H87" s="7">
        <v>62.0</v>
      </c>
      <c r="I87" s="7">
        <v>12.0</v>
      </c>
      <c r="J87" s="7" t="s">
        <v>81</v>
      </c>
      <c r="K87" s="7" t="b">
        <v>0</v>
      </c>
      <c r="L87" s="2">
        <v>12.083</v>
      </c>
      <c r="M87" s="9">
        <v>0.5034722222222222</v>
      </c>
      <c r="N87" s="7">
        <v>12.083</v>
      </c>
      <c r="O87" s="15">
        <v>0.5034722222222222</v>
      </c>
      <c r="P87" s="7">
        <v>8.0</v>
      </c>
      <c r="Q87" s="7">
        <v>0.0</v>
      </c>
      <c r="R87" s="7">
        <v>1.0</v>
      </c>
      <c r="S87" s="7">
        <v>2.0</v>
      </c>
      <c r="T87" s="7">
        <v>4.0</v>
      </c>
      <c r="U87" s="7">
        <v>2.0</v>
      </c>
      <c r="V87" s="7">
        <v>2.0</v>
      </c>
      <c r="W87" s="7">
        <v>2.0</v>
      </c>
      <c r="X87" s="7">
        <v>5.0</v>
      </c>
      <c r="Y87" s="7">
        <v>0.0</v>
      </c>
      <c r="Z87" s="7">
        <v>0.5</v>
      </c>
      <c r="AA87" s="7">
        <v>1.0</v>
      </c>
      <c r="AB87" s="7">
        <v>0.6</v>
      </c>
      <c r="AC87" s="7">
        <v>0.6803</v>
      </c>
      <c r="AD87" s="7">
        <v>1.0</v>
      </c>
      <c r="AE87" s="7">
        <v>0.2</v>
      </c>
      <c r="AF87" s="7">
        <v>0.8</v>
      </c>
      <c r="AG87" s="7">
        <v>0.0</v>
      </c>
      <c r="AH87" s="7">
        <v>0.0</v>
      </c>
      <c r="AI87" s="7">
        <v>0.0</v>
      </c>
      <c r="AJ87" s="7">
        <v>2.0</v>
      </c>
      <c r="AK87" s="7">
        <v>0.0</v>
      </c>
      <c r="AL87" s="7">
        <v>2.0</v>
      </c>
      <c r="AM87" s="7">
        <v>0.074</v>
      </c>
      <c r="AN87" s="7">
        <v>0.0</v>
      </c>
      <c r="AO87" s="7">
        <v>2.0</v>
      </c>
      <c r="AP87" s="7">
        <v>0.226</v>
      </c>
      <c r="AQ87" s="7">
        <v>0.2167</v>
      </c>
      <c r="AR87" s="7">
        <v>1.0</v>
      </c>
      <c r="AS87" s="7">
        <v>0.54</v>
      </c>
      <c r="AU87" s="7">
        <v>199.95</v>
      </c>
      <c r="AV87" s="7">
        <v>70.0</v>
      </c>
      <c r="AW87" s="7">
        <v>20.0</v>
      </c>
      <c r="AX87" s="7">
        <v>11.0</v>
      </c>
      <c r="AY87" s="7">
        <v>23.83</v>
      </c>
      <c r="AZ87" s="7">
        <v>5.96</v>
      </c>
      <c r="BA87" s="7">
        <v>0.0</v>
      </c>
      <c r="BB87" s="7">
        <v>0.0</v>
      </c>
      <c r="BC87" s="7">
        <v>5.96</v>
      </c>
      <c r="BD87" s="7">
        <v>0.0</v>
      </c>
      <c r="BE87" s="7">
        <v>0.0</v>
      </c>
      <c r="BF87" s="7" t="s">
        <v>88</v>
      </c>
      <c r="BG87" s="10"/>
      <c r="BH87" s="12"/>
      <c r="BI87" s="12"/>
      <c r="BJ87" s="12">
        <f t="shared" si="1"/>
        <v>0</v>
      </c>
      <c r="BK87" s="12">
        <f t="shared" si="2"/>
        <v>0.4</v>
      </c>
      <c r="BL87" s="12">
        <f t="shared" si="3"/>
        <v>1.6</v>
      </c>
      <c r="BM87" s="13">
        <f t="shared" si="4"/>
        <v>0</v>
      </c>
      <c r="BN87" s="13">
        <f t="shared" si="5"/>
        <v>0.75</v>
      </c>
      <c r="BO87" s="12">
        <f t="shared" si="6"/>
        <v>0.25</v>
      </c>
      <c r="BP87" s="14" t="str">
        <f t="shared" si="7"/>
        <v/>
      </c>
    </row>
    <row r="88">
      <c r="A88" s="7" t="s">
        <v>165</v>
      </c>
      <c r="B88" s="7" t="s">
        <v>166</v>
      </c>
      <c r="C88" s="8">
        <v>46187.0</v>
      </c>
      <c r="D88" s="7" t="s">
        <v>167</v>
      </c>
      <c r="E88" s="7" t="s">
        <v>70</v>
      </c>
      <c r="F88" s="7" t="s">
        <v>99</v>
      </c>
      <c r="G88" s="7">
        <v>72.0</v>
      </c>
      <c r="H88" s="7">
        <v>62.0</v>
      </c>
      <c r="I88" s="7">
        <v>24.0</v>
      </c>
      <c r="J88" s="7" t="s">
        <v>82</v>
      </c>
      <c r="K88" s="7" t="b">
        <v>1</v>
      </c>
      <c r="L88" s="2">
        <v>35.5</v>
      </c>
      <c r="M88" s="9">
        <v>1.4791666666666667</v>
      </c>
      <c r="N88" s="7">
        <v>35.5</v>
      </c>
      <c r="O88" s="9">
        <v>1.4791666666666667</v>
      </c>
      <c r="P88" s="7">
        <v>19.0</v>
      </c>
      <c r="Q88" s="7">
        <v>7.0</v>
      </c>
      <c r="R88" s="7">
        <v>14.0</v>
      </c>
      <c r="S88" s="7">
        <v>0.0</v>
      </c>
      <c r="T88" s="7">
        <v>1.0</v>
      </c>
      <c r="U88" s="7">
        <v>5.0</v>
      </c>
      <c r="V88" s="7">
        <v>8.0</v>
      </c>
      <c r="W88" s="7">
        <v>7.0</v>
      </c>
      <c r="X88" s="7">
        <v>15.0</v>
      </c>
      <c r="Y88" s="7">
        <v>0.5</v>
      </c>
      <c r="Z88" s="7">
        <v>0.0</v>
      </c>
      <c r="AA88" s="7">
        <v>0.625</v>
      </c>
      <c r="AB88" s="7">
        <v>0.4667</v>
      </c>
      <c r="AC88" s="7">
        <v>0.513</v>
      </c>
      <c r="AD88" s="7">
        <v>3.0</v>
      </c>
      <c r="AE88" s="7">
        <v>0.933</v>
      </c>
      <c r="AF88" s="7">
        <v>0.067</v>
      </c>
      <c r="AG88" s="7">
        <v>2.0</v>
      </c>
      <c r="AH88" s="7">
        <v>2.0</v>
      </c>
      <c r="AI88" s="7">
        <v>1.0</v>
      </c>
      <c r="AJ88" s="7">
        <v>7.0</v>
      </c>
      <c r="AK88" s="7">
        <v>4.0</v>
      </c>
      <c r="AL88" s="7">
        <v>3.0</v>
      </c>
      <c r="AM88" s="7">
        <v>0.089</v>
      </c>
      <c r="AN88" s="7">
        <v>0.0</v>
      </c>
      <c r="AO88" s="7">
        <v>2.0</v>
      </c>
      <c r="AP88" s="7">
        <v>0.317</v>
      </c>
      <c r="AQ88" s="7">
        <v>0.2449</v>
      </c>
      <c r="AR88" s="7">
        <v>0.9</v>
      </c>
      <c r="AS88" s="7">
        <v>0.86</v>
      </c>
      <c r="AU88" s="7">
        <v>199.95</v>
      </c>
      <c r="AV88" s="7">
        <v>70.0</v>
      </c>
      <c r="AW88" s="7">
        <v>20.0</v>
      </c>
      <c r="AX88" s="7">
        <v>11.0</v>
      </c>
      <c r="AY88" s="7">
        <v>19.27</v>
      </c>
      <c r="AZ88" s="7">
        <v>7.1</v>
      </c>
      <c r="BA88" s="7">
        <v>2.03</v>
      </c>
      <c r="BB88" s="7">
        <v>1.01</v>
      </c>
      <c r="BC88" s="7">
        <v>2.03</v>
      </c>
      <c r="BD88" s="7">
        <v>0.0</v>
      </c>
      <c r="BE88" s="7">
        <v>2.03</v>
      </c>
      <c r="BF88" s="7" t="s">
        <v>86</v>
      </c>
      <c r="BG88" s="10"/>
      <c r="BH88" s="12"/>
      <c r="BI88" s="12"/>
      <c r="BJ88" s="12">
        <f t="shared" si="1"/>
        <v>0.0512295082</v>
      </c>
      <c r="BK88" s="12">
        <f t="shared" si="2"/>
        <v>0.5333333333</v>
      </c>
      <c r="BL88" s="12">
        <f t="shared" si="3"/>
        <v>1.266666667</v>
      </c>
      <c r="BM88" s="13">
        <f t="shared" si="4"/>
        <v>0.7368421053</v>
      </c>
      <c r="BN88" s="13">
        <f t="shared" si="5"/>
        <v>0</v>
      </c>
      <c r="BO88" s="12">
        <f t="shared" si="6"/>
        <v>0.2631578947</v>
      </c>
      <c r="BP88" s="14">
        <f t="shared" si="7"/>
        <v>2</v>
      </c>
    </row>
    <row r="89">
      <c r="A89" s="7" t="s">
        <v>165</v>
      </c>
      <c r="B89" s="7" t="s">
        <v>166</v>
      </c>
      <c r="C89" s="8">
        <v>46187.0</v>
      </c>
      <c r="D89" s="7" t="s">
        <v>167</v>
      </c>
      <c r="E89" s="7" t="s">
        <v>70</v>
      </c>
      <c r="F89" s="7" t="s">
        <v>99</v>
      </c>
      <c r="G89" s="7">
        <v>72.0</v>
      </c>
      <c r="H89" s="7">
        <v>62.0</v>
      </c>
      <c r="I89" s="7">
        <v>32.0</v>
      </c>
      <c r="J89" s="7" t="s">
        <v>83</v>
      </c>
      <c r="K89" s="7" t="b">
        <v>1</v>
      </c>
      <c r="L89" s="2">
        <v>24.233</v>
      </c>
      <c r="M89" s="9">
        <v>1.0097222222222222</v>
      </c>
      <c r="N89" s="7">
        <v>24.233</v>
      </c>
      <c r="O89" s="9">
        <v>1.0097222222222222</v>
      </c>
      <c r="P89" s="7">
        <v>12.0</v>
      </c>
      <c r="Q89" s="7">
        <v>3.0</v>
      </c>
      <c r="R89" s="7">
        <v>5.0</v>
      </c>
      <c r="S89" s="7">
        <v>1.0</v>
      </c>
      <c r="T89" s="7">
        <v>3.0</v>
      </c>
      <c r="U89" s="7">
        <v>3.0</v>
      </c>
      <c r="V89" s="7">
        <v>4.0</v>
      </c>
      <c r="W89" s="7">
        <v>4.0</v>
      </c>
      <c r="X89" s="7">
        <v>8.0</v>
      </c>
      <c r="Y89" s="7">
        <v>0.6</v>
      </c>
      <c r="Z89" s="7">
        <v>0.3333</v>
      </c>
      <c r="AA89" s="7">
        <v>0.75</v>
      </c>
      <c r="AB89" s="7">
        <v>0.5625</v>
      </c>
      <c r="AC89" s="7">
        <v>0.6148</v>
      </c>
      <c r="AD89" s="7">
        <v>2.0</v>
      </c>
      <c r="AE89" s="7">
        <v>0.625</v>
      </c>
      <c r="AF89" s="7">
        <v>0.375</v>
      </c>
      <c r="AG89" s="7">
        <v>1.0</v>
      </c>
      <c r="AH89" s="7">
        <v>1.0</v>
      </c>
      <c r="AI89" s="7">
        <v>1.0</v>
      </c>
      <c r="AJ89" s="7">
        <v>8.0</v>
      </c>
      <c r="AK89" s="7">
        <v>1.0</v>
      </c>
      <c r="AL89" s="7">
        <v>7.0</v>
      </c>
      <c r="AM89" s="7">
        <v>0.145</v>
      </c>
      <c r="AN89" s="7">
        <v>0.0</v>
      </c>
      <c r="AO89" s="7">
        <v>0.0</v>
      </c>
      <c r="AP89" s="7">
        <v>0.236</v>
      </c>
      <c r="AQ89" s="7">
        <v>0.1977</v>
      </c>
      <c r="AR89" s="7">
        <v>0.89</v>
      </c>
      <c r="AS89" s="7">
        <v>1.02</v>
      </c>
      <c r="AU89" s="7">
        <v>199.95</v>
      </c>
      <c r="AV89" s="7">
        <v>70.0</v>
      </c>
      <c r="AW89" s="7">
        <v>20.0</v>
      </c>
      <c r="AX89" s="7">
        <v>11.0</v>
      </c>
      <c r="AY89" s="7">
        <v>17.83</v>
      </c>
      <c r="AZ89" s="7">
        <v>11.88</v>
      </c>
      <c r="BA89" s="7">
        <v>1.49</v>
      </c>
      <c r="BB89" s="7">
        <v>1.49</v>
      </c>
      <c r="BC89" s="7">
        <v>0.0</v>
      </c>
      <c r="BD89" s="7">
        <v>0.0</v>
      </c>
      <c r="BE89" s="7">
        <v>1.49</v>
      </c>
      <c r="BF89" s="7" t="s">
        <v>76</v>
      </c>
      <c r="BG89" s="10"/>
      <c r="BH89" s="12"/>
      <c r="BI89" s="12"/>
      <c r="BJ89" s="12">
        <f t="shared" si="1"/>
        <v>0.09293680297</v>
      </c>
      <c r="BK89" s="12">
        <f t="shared" si="2"/>
        <v>0.5</v>
      </c>
      <c r="BL89" s="12">
        <f t="shared" si="3"/>
        <v>1.5</v>
      </c>
      <c r="BM89" s="13">
        <f t="shared" si="4"/>
        <v>0.5</v>
      </c>
      <c r="BN89" s="13">
        <f t="shared" si="5"/>
        <v>0.25</v>
      </c>
      <c r="BO89" s="12">
        <f t="shared" si="6"/>
        <v>0.25</v>
      </c>
      <c r="BP89" s="14">
        <f t="shared" si="7"/>
        <v>1</v>
      </c>
    </row>
    <row r="90">
      <c r="A90" s="7" t="s">
        <v>168</v>
      </c>
      <c r="B90" s="7" t="s">
        <v>169</v>
      </c>
      <c r="C90" s="8">
        <v>46187.0</v>
      </c>
      <c r="D90" s="7" t="s">
        <v>170</v>
      </c>
      <c r="E90" s="7" t="s">
        <v>127</v>
      </c>
      <c r="F90" s="7" t="s">
        <v>71</v>
      </c>
      <c r="G90" s="7">
        <v>89.0</v>
      </c>
      <c r="H90" s="7">
        <v>93.0</v>
      </c>
      <c r="I90" s="7">
        <v>0.0</v>
      </c>
      <c r="J90" s="7" t="s">
        <v>138</v>
      </c>
      <c r="K90" s="7" t="b">
        <v>0</v>
      </c>
      <c r="L90" s="2">
        <v>28.083</v>
      </c>
      <c r="M90" s="9">
        <v>1.1701388888888888</v>
      </c>
      <c r="N90" s="7">
        <v>28.083</v>
      </c>
      <c r="O90" s="9">
        <v>1.1701388888888888</v>
      </c>
      <c r="P90" s="7">
        <v>16.0</v>
      </c>
      <c r="Q90" s="7">
        <v>1.0</v>
      </c>
      <c r="R90" s="7">
        <v>4.0</v>
      </c>
      <c r="S90" s="7">
        <v>4.0</v>
      </c>
      <c r="T90" s="7">
        <v>8.0</v>
      </c>
      <c r="U90" s="7">
        <v>2.0</v>
      </c>
      <c r="V90" s="7">
        <v>2.0</v>
      </c>
      <c r="W90" s="7">
        <v>5.0</v>
      </c>
      <c r="X90" s="7">
        <v>12.0</v>
      </c>
      <c r="Y90" s="7">
        <v>0.25</v>
      </c>
      <c r="Z90" s="7">
        <v>0.5</v>
      </c>
      <c r="AA90" s="7">
        <v>1.0</v>
      </c>
      <c r="AB90" s="7">
        <v>0.5833</v>
      </c>
      <c r="AC90" s="7">
        <v>0.6211</v>
      </c>
      <c r="AD90" s="7">
        <v>1.0</v>
      </c>
      <c r="AE90" s="7">
        <v>0.333</v>
      </c>
      <c r="AF90" s="7">
        <v>0.667</v>
      </c>
      <c r="AG90" s="7">
        <v>2.0</v>
      </c>
      <c r="AH90" s="7">
        <v>3.0</v>
      </c>
      <c r="AI90" s="7">
        <v>2.0</v>
      </c>
      <c r="AJ90" s="7">
        <v>4.0</v>
      </c>
      <c r="AK90" s="7">
        <v>1.0</v>
      </c>
      <c r="AL90" s="7">
        <v>3.0</v>
      </c>
      <c r="AM90" s="7">
        <v>0.057</v>
      </c>
      <c r="AN90" s="7">
        <v>0.0</v>
      </c>
      <c r="AO90" s="7">
        <v>0.0</v>
      </c>
      <c r="AP90" s="7">
        <v>0.193</v>
      </c>
      <c r="AQ90" s="7">
        <v>0.1877</v>
      </c>
      <c r="AR90" s="7">
        <v>0.86</v>
      </c>
      <c r="AS90" s="7">
        <v>0.97</v>
      </c>
      <c r="AU90" s="7">
        <v>199.967</v>
      </c>
      <c r="AV90" s="7">
        <v>82.0</v>
      </c>
      <c r="AW90" s="7">
        <v>18.0</v>
      </c>
      <c r="AX90" s="7">
        <v>23.0</v>
      </c>
      <c r="AY90" s="7">
        <v>20.51</v>
      </c>
      <c r="AZ90" s="7">
        <v>5.13</v>
      </c>
      <c r="BA90" s="7">
        <v>2.56</v>
      </c>
      <c r="BB90" s="7">
        <v>2.56</v>
      </c>
      <c r="BC90" s="7">
        <v>0.0</v>
      </c>
      <c r="BD90" s="7">
        <v>0.0</v>
      </c>
      <c r="BE90" s="7">
        <v>3.85</v>
      </c>
      <c r="BF90" s="7" t="s">
        <v>76</v>
      </c>
      <c r="BG90" s="10"/>
      <c r="BH90" s="12"/>
      <c r="BI90" s="12"/>
      <c r="BJ90" s="12">
        <f t="shared" si="1"/>
        <v>0.1344086022</v>
      </c>
      <c r="BK90" s="12">
        <f t="shared" si="2"/>
        <v>0.1666666667</v>
      </c>
      <c r="BL90" s="12">
        <f t="shared" si="3"/>
        <v>1.333333333</v>
      </c>
      <c r="BM90" s="13">
        <f t="shared" si="4"/>
        <v>0.125</v>
      </c>
      <c r="BN90" s="13">
        <f t="shared" si="5"/>
        <v>0.75</v>
      </c>
      <c r="BO90" s="12">
        <f t="shared" si="6"/>
        <v>0.125</v>
      </c>
      <c r="BP90" s="14">
        <f t="shared" si="7"/>
        <v>1</v>
      </c>
    </row>
    <row r="91">
      <c r="A91" s="7" t="s">
        <v>168</v>
      </c>
      <c r="B91" s="7" t="s">
        <v>169</v>
      </c>
      <c r="C91" s="8">
        <v>46187.0</v>
      </c>
      <c r="D91" s="7" t="s">
        <v>170</v>
      </c>
      <c r="E91" s="7" t="s">
        <v>127</v>
      </c>
      <c r="F91" s="7" t="s">
        <v>71</v>
      </c>
      <c r="G91" s="7">
        <v>89.0</v>
      </c>
      <c r="H91" s="7">
        <v>93.0</v>
      </c>
      <c r="I91" s="7">
        <v>1.0</v>
      </c>
      <c r="J91" s="7" t="s">
        <v>139</v>
      </c>
      <c r="K91" s="7" t="b">
        <v>1</v>
      </c>
      <c r="L91" s="2">
        <v>40.0</v>
      </c>
      <c r="M91" s="9">
        <v>1.6666666666666667</v>
      </c>
      <c r="N91" s="7">
        <v>40.0</v>
      </c>
      <c r="O91" s="9">
        <v>1.6666666666666667</v>
      </c>
      <c r="P91" s="7">
        <v>12.0</v>
      </c>
      <c r="Q91" s="7">
        <v>1.0</v>
      </c>
      <c r="R91" s="7">
        <v>5.0</v>
      </c>
      <c r="S91" s="7">
        <v>3.0</v>
      </c>
      <c r="T91" s="7">
        <v>5.0</v>
      </c>
      <c r="U91" s="7">
        <v>1.0</v>
      </c>
      <c r="V91" s="7">
        <v>2.0</v>
      </c>
      <c r="W91" s="7">
        <v>4.0</v>
      </c>
      <c r="X91" s="7">
        <v>10.0</v>
      </c>
      <c r="Y91" s="7">
        <v>0.2</v>
      </c>
      <c r="Z91" s="7">
        <v>0.6</v>
      </c>
      <c r="AA91" s="7">
        <v>0.5</v>
      </c>
      <c r="AB91" s="7">
        <v>0.55</v>
      </c>
      <c r="AC91" s="7">
        <v>0.5515</v>
      </c>
      <c r="AD91" s="7">
        <v>1.0</v>
      </c>
      <c r="AE91" s="7">
        <v>0.5</v>
      </c>
      <c r="AF91" s="7">
        <v>0.5</v>
      </c>
      <c r="AG91" s="7">
        <v>8.0</v>
      </c>
      <c r="AH91" s="7">
        <v>4.0</v>
      </c>
      <c r="AI91" s="7">
        <v>4.0</v>
      </c>
      <c r="AJ91" s="7">
        <v>3.0</v>
      </c>
      <c r="AK91" s="7">
        <v>2.0</v>
      </c>
      <c r="AL91" s="7">
        <v>1.0</v>
      </c>
      <c r="AM91" s="7">
        <v>0.031</v>
      </c>
      <c r="AN91" s="7">
        <v>0.0</v>
      </c>
      <c r="AO91" s="7">
        <v>3.0</v>
      </c>
      <c r="AP91" s="7">
        <v>0.138</v>
      </c>
      <c r="AQ91" s="7">
        <v>0.1318</v>
      </c>
      <c r="AR91" s="7">
        <v>0.9</v>
      </c>
      <c r="AS91" s="7">
        <v>0.95</v>
      </c>
      <c r="AU91" s="7">
        <v>199.967</v>
      </c>
      <c r="AV91" s="7">
        <v>82.0</v>
      </c>
      <c r="AW91" s="7">
        <v>18.0</v>
      </c>
      <c r="AX91" s="7">
        <v>23.0</v>
      </c>
      <c r="AY91" s="7">
        <v>10.8</v>
      </c>
      <c r="AZ91" s="7">
        <v>2.7</v>
      </c>
      <c r="BA91" s="7">
        <v>7.2</v>
      </c>
      <c r="BB91" s="7">
        <v>3.6</v>
      </c>
      <c r="BC91" s="7">
        <v>2.7</v>
      </c>
      <c r="BD91" s="7">
        <v>0.0</v>
      </c>
      <c r="BE91" s="7">
        <v>3.6</v>
      </c>
      <c r="BF91" s="7" t="s">
        <v>76</v>
      </c>
      <c r="BG91" s="10"/>
      <c r="BH91" s="12"/>
      <c r="BI91" s="12"/>
      <c r="BJ91" s="12">
        <f t="shared" si="1"/>
        <v>0.2688172043</v>
      </c>
      <c r="BK91" s="12">
        <f t="shared" si="2"/>
        <v>0.2</v>
      </c>
      <c r="BL91" s="12">
        <f t="shared" si="3"/>
        <v>1.2</v>
      </c>
      <c r="BM91" s="13">
        <f t="shared" si="4"/>
        <v>0.1666666667</v>
      </c>
      <c r="BN91" s="13">
        <f t="shared" si="5"/>
        <v>0.75</v>
      </c>
      <c r="BO91" s="12">
        <f t="shared" si="6"/>
        <v>0.08333333333</v>
      </c>
      <c r="BP91" s="14">
        <f t="shared" si="7"/>
        <v>2</v>
      </c>
    </row>
    <row r="92">
      <c r="A92" s="7" t="s">
        <v>168</v>
      </c>
      <c r="B92" s="7" t="s">
        <v>169</v>
      </c>
      <c r="C92" s="8">
        <v>46187.0</v>
      </c>
      <c r="D92" s="7" t="s">
        <v>170</v>
      </c>
      <c r="E92" s="7" t="s">
        <v>127</v>
      </c>
      <c r="F92" s="7" t="s">
        <v>71</v>
      </c>
      <c r="G92" s="7">
        <v>89.0</v>
      </c>
      <c r="H92" s="7">
        <v>93.0</v>
      </c>
      <c r="I92" s="7">
        <v>2.0</v>
      </c>
      <c r="J92" s="7" t="s">
        <v>140</v>
      </c>
      <c r="K92" s="7" t="b">
        <v>1</v>
      </c>
      <c r="L92" s="2">
        <v>35.35</v>
      </c>
      <c r="M92" s="9">
        <v>1.4729166666666667</v>
      </c>
      <c r="N92" s="7">
        <v>35.35</v>
      </c>
      <c r="O92" s="9">
        <v>1.4729166666666667</v>
      </c>
      <c r="P92" s="7">
        <v>16.0</v>
      </c>
      <c r="Q92" s="7">
        <v>7.0</v>
      </c>
      <c r="R92" s="7">
        <v>15.0</v>
      </c>
      <c r="S92" s="7">
        <v>0.0</v>
      </c>
      <c r="T92" s="7">
        <v>0.0</v>
      </c>
      <c r="U92" s="7">
        <v>2.0</v>
      </c>
      <c r="V92" s="7">
        <v>7.0</v>
      </c>
      <c r="W92" s="7">
        <v>7.0</v>
      </c>
      <c r="X92" s="7">
        <v>15.0</v>
      </c>
      <c r="Y92" s="7">
        <v>0.4667</v>
      </c>
      <c r="AA92" s="7">
        <v>0.2857</v>
      </c>
      <c r="AB92" s="7">
        <v>0.4667</v>
      </c>
      <c r="AC92" s="7">
        <v>0.4425</v>
      </c>
      <c r="AD92" s="7">
        <v>3.0</v>
      </c>
      <c r="AE92" s="7">
        <v>1.0</v>
      </c>
      <c r="AF92" s="7">
        <v>0.0</v>
      </c>
      <c r="AG92" s="7">
        <v>2.0</v>
      </c>
      <c r="AH92" s="7">
        <v>4.0</v>
      </c>
      <c r="AI92" s="7">
        <v>2.0</v>
      </c>
      <c r="AJ92" s="7">
        <v>8.0</v>
      </c>
      <c r="AK92" s="7">
        <v>2.0</v>
      </c>
      <c r="AL92" s="7">
        <v>6.0</v>
      </c>
      <c r="AM92" s="7">
        <v>0.098</v>
      </c>
      <c r="AN92" s="7">
        <v>0.0</v>
      </c>
      <c r="AO92" s="7">
        <v>3.0</v>
      </c>
      <c r="AP92" s="7">
        <v>0.245</v>
      </c>
      <c r="AQ92" s="7">
        <v>0.2012</v>
      </c>
      <c r="AR92" s="7">
        <v>0.94</v>
      </c>
      <c r="AS92" s="7">
        <v>0.85</v>
      </c>
      <c r="AU92" s="7">
        <v>199.967</v>
      </c>
      <c r="AV92" s="7">
        <v>82.0</v>
      </c>
      <c r="AW92" s="7">
        <v>18.0</v>
      </c>
      <c r="AX92" s="7">
        <v>23.0</v>
      </c>
      <c r="AY92" s="7">
        <v>16.29</v>
      </c>
      <c r="AZ92" s="7">
        <v>8.15</v>
      </c>
      <c r="BA92" s="7">
        <v>2.04</v>
      </c>
      <c r="BB92" s="7">
        <v>2.04</v>
      </c>
      <c r="BC92" s="7">
        <v>3.06</v>
      </c>
      <c r="BD92" s="7">
        <v>0.0</v>
      </c>
      <c r="BE92" s="7">
        <v>4.07</v>
      </c>
      <c r="BF92" s="7" t="s">
        <v>86</v>
      </c>
      <c r="BG92" s="10"/>
      <c r="BH92" s="12"/>
      <c r="BI92" s="12"/>
      <c r="BJ92" s="12">
        <f t="shared" si="1"/>
        <v>0.09960159363</v>
      </c>
      <c r="BK92" s="12">
        <f t="shared" si="2"/>
        <v>0.4666666667</v>
      </c>
      <c r="BL92" s="12">
        <f t="shared" si="3"/>
        <v>1.066666667</v>
      </c>
      <c r="BM92" s="13">
        <f t="shared" si="4"/>
        <v>0.875</v>
      </c>
      <c r="BN92" s="13">
        <f t="shared" si="5"/>
        <v>0</v>
      </c>
      <c r="BO92" s="12">
        <f t="shared" si="6"/>
        <v>0.125</v>
      </c>
      <c r="BP92" s="14">
        <f t="shared" si="7"/>
        <v>1</v>
      </c>
    </row>
    <row r="93">
      <c r="A93" s="7" t="s">
        <v>168</v>
      </c>
      <c r="B93" s="7" t="s">
        <v>169</v>
      </c>
      <c r="C93" s="8">
        <v>46187.0</v>
      </c>
      <c r="D93" s="7" t="s">
        <v>170</v>
      </c>
      <c r="E93" s="7" t="s">
        <v>127</v>
      </c>
      <c r="F93" s="7" t="s">
        <v>71</v>
      </c>
      <c r="G93" s="7">
        <v>89.0</v>
      </c>
      <c r="H93" s="7">
        <v>93.0</v>
      </c>
      <c r="I93" s="7">
        <v>3.0</v>
      </c>
      <c r="J93" s="7" t="s">
        <v>141</v>
      </c>
      <c r="K93" s="7" t="b">
        <v>1</v>
      </c>
      <c r="L93" s="2">
        <v>31.25</v>
      </c>
      <c r="M93" s="9">
        <v>1.3020833333333333</v>
      </c>
      <c r="N93" s="7">
        <v>31.25</v>
      </c>
      <c r="O93" s="9">
        <v>1.3020833333333333</v>
      </c>
      <c r="P93" s="7">
        <v>6.0</v>
      </c>
      <c r="Q93" s="7">
        <v>3.0</v>
      </c>
      <c r="R93" s="7">
        <v>4.0</v>
      </c>
      <c r="S93" s="7">
        <v>0.0</v>
      </c>
      <c r="T93" s="7">
        <v>4.0</v>
      </c>
      <c r="U93" s="7">
        <v>0.0</v>
      </c>
      <c r="V93" s="7">
        <v>0.0</v>
      </c>
      <c r="W93" s="7">
        <v>3.0</v>
      </c>
      <c r="X93" s="7">
        <v>8.0</v>
      </c>
      <c r="Y93" s="7">
        <v>0.75</v>
      </c>
      <c r="Z93" s="7">
        <v>0.0</v>
      </c>
      <c r="AB93" s="7">
        <v>0.375</v>
      </c>
      <c r="AC93" s="7">
        <v>0.375</v>
      </c>
      <c r="AD93" s="7">
        <v>0.0</v>
      </c>
      <c r="AE93" s="7">
        <v>0.5</v>
      </c>
      <c r="AF93" s="7">
        <v>0.5</v>
      </c>
      <c r="AG93" s="7">
        <v>7.0</v>
      </c>
      <c r="AH93" s="7">
        <v>3.0</v>
      </c>
      <c r="AI93" s="7">
        <v>2.0</v>
      </c>
      <c r="AJ93" s="7">
        <v>5.0</v>
      </c>
      <c r="AK93" s="7">
        <v>1.0</v>
      </c>
      <c r="AL93" s="7">
        <v>4.0</v>
      </c>
      <c r="AM93" s="7">
        <v>0.068</v>
      </c>
      <c r="AN93" s="7">
        <v>1.0</v>
      </c>
      <c r="AO93" s="7">
        <v>1.0</v>
      </c>
      <c r="AP93" s="7">
        <v>0.12</v>
      </c>
      <c r="AQ93" s="7">
        <v>0.1133</v>
      </c>
      <c r="AR93" s="7">
        <v>0.83</v>
      </c>
      <c r="AS93" s="7">
        <v>1.03</v>
      </c>
      <c r="AU93" s="7">
        <v>199.967</v>
      </c>
      <c r="AV93" s="7">
        <v>82.0</v>
      </c>
      <c r="AW93" s="7">
        <v>18.0</v>
      </c>
      <c r="AX93" s="7">
        <v>23.0</v>
      </c>
      <c r="AY93" s="7">
        <v>6.91</v>
      </c>
      <c r="AZ93" s="7">
        <v>5.76</v>
      </c>
      <c r="BA93" s="7">
        <v>8.06</v>
      </c>
      <c r="BB93" s="7">
        <v>2.3</v>
      </c>
      <c r="BC93" s="7">
        <v>1.15</v>
      </c>
      <c r="BD93" s="7">
        <v>1.15</v>
      </c>
      <c r="BE93" s="7">
        <v>3.46</v>
      </c>
      <c r="BF93" s="7" t="s">
        <v>79</v>
      </c>
      <c r="BG93" s="10"/>
      <c r="BH93" s="12"/>
      <c r="BI93" s="12"/>
      <c r="BJ93" s="12">
        <f t="shared" si="1"/>
        <v>0.2</v>
      </c>
      <c r="BK93" s="12">
        <f t="shared" si="2"/>
        <v>0</v>
      </c>
      <c r="BL93" s="12">
        <f t="shared" si="3"/>
        <v>0.75</v>
      </c>
      <c r="BM93" s="13">
        <f t="shared" si="4"/>
        <v>1</v>
      </c>
      <c r="BN93" s="13">
        <f t="shared" si="5"/>
        <v>0</v>
      </c>
      <c r="BO93" s="12">
        <f t="shared" si="6"/>
        <v>0</v>
      </c>
      <c r="BP93" s="14">
        <f t="shared" si="7"/>
        <v>3.5</v>
      </c>
    </row>
    <row r="94">
      <c r="A94" s="7" t="s">
        <v>168</v>
      </c>
      <c r="B94" s="7" t="s">
        <v>169</v>
      </c>
      <c r="C94" s="8">
        <v>46187.0</v>
      </c>
      <c r="D94" s="7" t="s">
        <v>170</v>
      </c>
      <c r="E94" s="7" t="s">
        <v>127</v>
      </c>
      <c r="F94" s="7" t="s">
        <v>71</v>
      </c>
      <c r="G94" s="7">
        <v>89.0</v>
      </c>
      <c r="H94" s="7">
        <v>93.0</v>
      </c>
      <c r="I94" s="7">
        <v>13.0</v>
      </c>
      <c r="J94" s="7" t="s">
        <v>143</v>
      </c>
      <c r="K94" s="7" t="b">
        <v>1</v>
      </c>
      <c r="L94" s="2">
        <v>35.883</v>
      </c>
      <c r="M94" s="9">
        <v>1.4951388888888888</v>
      </c>
      <c r="N94" s="7">
        <v>35.883</v>
      </c>
      <c r="O94" s="9">
        <v>1.4951388888888888</v>
      </c>
      <c r="P94" s="7">
        <v>21.0</v>
      </c>
      <c r="Q94" s="7">
        <v>8.0</v>
      </c>
      <c r="R94" s="7">
        <v>13.0</v>
      </c>
      <c r="S94" s="7">
        <v>0.0</v>
      </c>
      <c r="T94" s="7">
        <v>2.0</v>
      </c>
      <c r="U94" s="7">
        <v>5.0</v>
      </c>
      <c r="V94" s="7">
        <v>7.0</v>
      </c>
      <c r="W94" s="7">
        <v>8.0</v>
      </c>
      <c r="X94" s="7">
        <v>15.0</v>
      </c>
      <c r="Y94" s="7">
        <v>0.6154</v>
      </c>
      <c r="Z94" s="7">
        <v>0.0</v>
      </c>
      <c r="AA94" s="7">
        <v>0.7143</v>
      </c>
      <c r="AB94" s="7">
        <v>0.5333</v>
      </c>
      <c r="AC94" s="7">
        <v>0.5808</v>
      </c>
      <c r="AD94" s="7">
        <v>2.0</v>
      </c>
      <c r="AE94" s="7">
        <v>0.867</v>
      </c>
      <c r="AF94" s="7">
        <v>0.133</v>
      </c>
      <c r="AG94" s="7">
        <v>1.0</v>
      </c>
      <c r="AH94" s="7">
        <v>5.0</v>
      </c>
      <c r="AI94" s="7">
        <v>5.0</v>
      </c>
      <c r="AJ94" s="7">
        <v>15.0</v>
      </c>
      <c r="AK94" s="7">
        <v>2.0</v>
      </c>
      <c r="AL94" s="7">
        <v>13.0</v>
      </c>
      <c r="AM94" s="7">
        <v>0.169</v>
      </c>
      <c r="AN94" s="7">
        <v>0.0</v>
      </c>
      <c r="AO94" s="7">
        <v>3.0</v>
      </c>
      <c r="AP94" s="7">
        <v>0.277</v>
      </c>
      <c r="AQ94" s="7">
        <v>0.2278</v>
      </c>
      <c r="AR94" s="7">
        <v>0.93</v>
      </c>
      <c r="AS94" s="7">
        <v>0.97</v>
      </c>
      <c r="AU94" s="7">
        <v>199.967</v>
      </c>
      <c r="AV94" s="7">
        <v>82.0</v>
      </c>
      <c r="AW94" s="7">
        <v>18.0</v>
      </c>
      <c r="AX94" s="7">
        <v>23.0</v>
      </c>
      <c r="AY94" s="7">
        <v>21.07</v>
      </c>
      <c r="AZ94" s="7">
        <v>15.05</v>
      </c>
      <c r="BA94" s="7">
        <v>1.0</v>
      </c>
      <c r="BB94" s="7">
        <v>5.02</v>
      </c>
      <c r="BC94" s="7">
        <v>3.01</v>
      </c>
      <c r="BD94" s="7">
        <v>0.0</v>
      </c>
      <c r="BE94" s="7">
        <v>5.02</v>
      </c>
      <c r="BF94" s="7" t="s">
        <v>86</v>
      </c>
      <c r="BG94" s="10"/>
      <c r="BH94" s="12"/>
      <c r="BI94" s="12"/>
      <c r="BJ94" s="12">
        <f t="shared" si="1"/>
        <v>0.2166377816</v>
      </c>
      <c r="BK94" s="12">
        <f t="shared" si="2"/>
        <v>0.4666666667</v>
      </c>
      <c r="BL94" s="12">
        <f t="shared" si="3"/>
        <v>1.4</v>
      </c>
      <c r="BM94" s="13">
        <f t="shared" si="4"/>
        <v>0.7619047619</v>
      </c>
      <c r="BN94" s="13">
        <f t="shared" si="5"/>
        <v>0</v>
      </c>
      <c r="BO94" s="12">
        <f t="shared" si="6"/>
        <v>0.2380952381</v>
      </c>
      <c r="BP94" s="14">
        <f t="shared" si="7"/>
        <v>0.2</v>
      </c>
    </row>
    <row r="95">
      <c r="A95" s="7" t="s">
        <v>168</v>
      </c>
      <c r="B95" s="7" t="s">
        <v>169</v>
      </c>
      <c r="C95" s="8">
        <v>46187.0</v>
      </c>
      <c r="D95" s="7" t="s">
        <v>170</v>
      </c>
      <c r="E95" s="7" t="s">
        <v>127</v>
      </c>
      <c r="F95" s="7" t="s">
        <v>71</v>
      </c>
      <c r="G95" s="7">
        <v>89.0</v>
      </c>
      <c r="H95" s="7">
        <v>93.0</v>
      </c>
      <c r="I95" s="7">
        <v>23.0</v>
      </c>
      <c r="J95" s="7" t="s">
        <v>144</v>
      </c>
      <c r="K95" s="7" t="b">
        <v>1</v>
      </c>
      <c r="L95" s="2">
        <v>29.4</v>
      </c>
      <c r="M95" s="9">
        <v>1.225</v>
      </c>
      <c r="N95" s="7">
        <v>29.4</v>
      </c>
      <c r="O95" s="9">
        <v>1.225</v>
      </c>
      <c r="P95" s="7">
        <v>18.0</v>
      </c>
      <c r="Q95" s="7">
        <v>3.0</v>
      </c>
      <c r="R95" s="7">
        <v>10.0</v>
      </c>
      <c r="S95" s="7">
        <v>4.0</v>
      </c>
      <c r="T95" s="7">
        <v>12.0</v>
      </c>
      <c r="U95" s="7">
        <v>0.0</v>
      </c>
      <c r="V95" s="7">
        <v>0.0</v>
      </c>
      <c r="W95" s="7">
        <v>7.0</v>
      </c>
      <c r="X95" s="7">
        <v>22.0</v>
      </c>
      <c r="Y95" s="7">
        <v>0.3</v>
      </c>
      <c r="Z95" s="7">
        <v>0.3333</v>
      </c>
      <c r="AB95" s="7">
        <v>0.4091</v>
      </c>
      <c r="AC95" s="7">
        <v>0.4091</v>
      </c>
      <c r="AD95" s="7">
        <v>0.0</v>
      </c>
      <c r="AE95" s="7">
        <v>0.455</v>
      </c>
      <c r="AF95" s="7">
        <v>0.545</v>
      </c>
      <c r="AG95" s="7">
        <v>2.0</v>
      </c>
      <c r="AH95" s="7">
        <v>3.0</v>
      </c>
      <c r="AI95" s="7">
        <v>6.0</v>
      </c>
      <c r="AJ95" s="7">
        <v>7.0</v>
      </c>
      <c r="AK95" s="7">
        <v>1.0</v>
      </c>
      <c r="AL95" s="7">
        <v>6.0</v>
      </c>
      <c r="AM95" s="7">
        <v>0.091</v>
      </c>
      <c r="AN95" s="7">
        <v>0.0</v>
      </c>
      <c r="AO95" s="7">
        <v>3.0</v>
      </c>
      <c r="AP95" s="7">
        <v>0.326</v>
      </c>
      <c r="AQ95" s="7">
        <v>0.3373</v>
      </c>
      <c r="AR95" s="7">
        <v>0.92</v>
      </c>
      <c r="AS95" s="7">
        <v>0.95</v>
      </c>
      <c r="AU95" s="7">
        <v>199.967</v>
      </c>
      <c r="AV95" s="7">
        <v>82.0</v>
      </c>
      <c r="AW95" s="7">
        <v>18.0</v>
      </c>
      <c r="AX95" s="7">
        <v>23.0</v>
      </c>
      <c r="AY95" s="7">
        <v>22.04</v>
      </c>
      <c r="AZ95" s="7">
        <v>8.57</v>
      </c>
      <c r="BA95" s="7">
        <v>2.45</v>
      </c>
      <c r="BB95" s="7">
        <v>7.35</v>
      </c>
      <c r="BC95" s="7">
        <v>3.67</v>
      </c>
      <c r="BD95" s="7">
        <v>0.0</v>
      </c>
      <c r="BE95" s="7">
        <v>3.67</v>
      </c>
      <c r="BF95" s="7" t="s">
        <v>84</v>
      </c>
      <c r="BG95" s="10"/>
      <c r="BH95" s="12"/>
      <c r="BI95" s="12"/>
      <c r="BJ95" s="12">
        <f t="shared" si="1"/>
        <v>0.2142857143</v>
      </c>
      <c r="BK95" s="12">
        <f t="shared" si="2"/>
        <v>0</v>
      </c>
      <c r="BL95" s="12">
        <f t="shared" si="3"/>
        <v>0.8181818182</v>
      </c>
      <c r="BM95" s="13">
        <f t="shared" si="4"/>
        <v>0.3333333333</v>
      </c>
      <c r="BN95" s="13">
        <f t="shared" si="5"/>
        <v>0.6666666667</v>
      </c>
      <c r="BO95" s="12">
        <f t="shared" si="6"/>
        <v>0</v>
      </c>
      <c r="BP95" s="14">
        <f t="shared" si="7"/>
        <v>0.3333333333</v>
      </c>
    </row>
    <row r="96">
      <c r="A96" s="7" t="s">
        <v>168</v>
      </c>
      <c r="B96" s="7" t="s">
        <v>169</v>
      </c>
      <c r="C96" s="8">
        <v>46187.0</v>
      </c>
      <c r="D96" s="7" t="s">
        <v>170</v>
      </c>
      <c r="E96" s="7" t="s">
        <v>71</v>
      </c>
      <c r="F96" s="7" t="s">
        <v>127</v>
      </c>
      <c r="G96" s="7">
        <v>93.0</v>
      </c>
      <c r="H96" s="7">
        <v>89.0</v>
      </c>
      <c r="I96" s="7">
        <v>1.0</v>
      </c>
      <c r="J96" s="7" t="s">
        <v>85</v>
      </c>
      <c r="K96" s="7" t="b">
        <v>0</v>
      </c>
      <c r="L96" s="2">
        <v>18.217</v>
      </c>
      <c r="M96" s="9">
        <v>0.7590277777777777</v>
      </c>
      <c r="N96" s="7">
        <v>18.217</v>
      </c>
      <c r="O96" s="15">
        <v>0.7590277777777777</v>
      </c>
      <c r="P96" s="7">
        <v>6.0</v>
      </c>
      <c r="Q96" s="7">
        <v>2.0</v>
      </c>
      <c r="R96" s="7">
        <v>7.0</v>
      </c>
      <c r="S96" s="7">
        <v>0.0</v>
      </c>
      <c r="T96" s="7">
        <v>0.0</v>
      </c>
      <c r="U96" s="7">
        <v>2.0</v>
      </c>
      <c r="V96" s="7">
        <v>2.0</v>
      </c>
      <c r="W96" s="7">
        <v>2.0</v>
      </c>
      <c r="X96" s="7">
        <v>7.0</v>
      </c>
      <c r="Y96" s="7">
        <v>0.2857</v>
      </c>
      <c r="AA96" s="7">
        <v>1.0</v>
      </c>
      <c r="AB96" s="7">
        <v>0.2857</v>
      </c>
      <c r="AC96" s="7">
        <v>0.3807</v>
      </c>
      <c r="AD96" s="7">
        <v>1.0</v>
      </c>
      <c r="AE96" s="7">
        <v>1.0</v>
      </c>
      <c r="AF96" s="7">
        <v>0.0</v>
      </c>
      <c r="AG96" s="7">
        <v>1.0</v>
      </c>
      <c r="AH96" s="7">
        <v>2.0</v>
      </c>
      <c r="AI96" s="7">
        <v>3.0</v>
      </c>
      <c r="AJ96" s="7">
        <v>10.0</v>
      </c>
      <c r="AK96" s="7">
        <v>6.0</v>
      </c>
      <c r="AL96" s="7">
        <v>4.0</v>
      </c>
      <c r="AM96" s="7">
        <v>0.222</v>
      </c>
      <c r="AN96" s="7">
        <v>2.0</v>
      </c>
      <c r="AO96" s="7">
        <v>1.0</v>
      </c>
      <c r="AP96" s="7">
        <v>0.226</v>
      </c>
      <c r="AQ96" s="7">
        <v>0.2091</v>
      </c>
      <c r="AR96" s="7">
        <v>1.0</v>
      </c>
      <c r="AS96" s="7">
        <v>0.98</v>
      </c>
      <c r="AU96" s="7">
        <v>199.95</v>
      </c>
      <c r="AV96" s="7">
        <v>78.0</v>
      </c>
      <c r="AW96" s="7">
        <v>30.0</v>
      </c>
      <c r="AX96" s="7">
        <v>23.0</v>
      </c>
      <c r="AY96" s="7">
        <v>11.86</v>
      </c>
      <c r="AZ96" s="7">
        <v>19.76</v>
      </c>
      <c r="BA96" s="7">
        <v>1.98</v>
      </c>
      <c r="BB96" s="7">
        <v>5.93</v>
      </c>
      <c r="BC96" s="7">
        <v>1.98</v>
      </c>
      <c r="BD96" s="7">
        <v>3.95</v>
      </c>
      <c r="BE96" s="7">
        <v>3.95</v>
      </c>
      <c r="BF96" s="7" t="s">
        <v>86</v>
      </c>
      <c r="BG96" s="10"/>
      <c r="BH96" s="12"/>
      <c r="BI96" s="12"/>
      <c r="BJ96" s="12">
        <f t="shared" si="1"/>
        <v>0.2757352941</v>
      </c>
      <c r="BK96" s="12">
        <f t="shared" si="2"/>
        <v>0.2857142857</v>
      </c>
      <c r="BL96" s="12">
        <f t="shared" si="3"/>
        <v>0.8571428571</v>
      </c>
      <c r="BM96" s="13">
        <f t="shared" si="4"/>
        <v>0.6666666667</v>
      </c>
      <c r="BN96" s="13">
        <f t="shared" si="5"/>
        <v>0</v>
      </c>
      <c r="BO96" s="12">
        <f t="shared" si="6"/>
        <v>0.3333333333</v>
      </c>
      <c r="BP96" s="14">
        <f t="shared" si="7"/>
        <v>0.3333333333</v>
      </c>
    </row>
    <row r="97">
      <c r="A97" s="7" t="s">
        <v>168</v>
      </c>
      <c r="B97" s="7" t="s">
        <v>169</v>
      </c>
      <c r="C97" s="8">
        <v>46187.0</v>
      </c>
      <c r="D97" s="7" t="s">
        <v>170</v>
      </c>
      <c r="E97" s="7" t="s">
        <v>71</v>
      </c>
      <c r="F97" s="7" t="s">
        <v>127</v>
      </c>
      <c r="G97" s="7">
        <v>93.0</v>
      </c>
      <c r="H97" s="7">
        <v>89.0</v>
      </c>
      <c r="I97" s="7">
        <v>2.0</v>
      </c>
      <c r="J97" s="7" t="s">
        <v>87</v>
      </c>
      <c r="K97" s="7" t="b">
        <v>0</v>
      </c>
      <c r="L97" s="2">
        <v>24.05</v>
      </c>
      <c r="M97" s="9">
        <v>1.0020833333333334</v>
      </c>
      <c r="N97" s="7">
        <v>24.05</v>
      </c>
      <c r="O97" s="9">
        <v>1.0020833333333334</v>
      </c>
      <c r="P97" s="7">
        <v>20.0</v>
      </c>
      <c r="Q97" s="7">
        <v>2.0</v>
      </c>
      <c r="R97" s="7">
        <v>3.0</v>
      </c>
      <c r="S97" s="7">
        <v>3.0</v>
      </c>
      <c r="T97" s="7">
        <v>10.0</v>
      </c>
      <c r="U97" s="7">
        <v>7.0</v>
      </c>
      <c r="V97" s="7">
        <v>9.0</v>
      </c>
      <c r="W97" s="7">
        <v>5.0</v>
      </c>
      <c r="X97" s="7">
        <v>13.0</v>
      </c>
      <c r="Y97" s="7">
        <v>0.6667</v>
      </c>
      <c r="Z97" s="7">
        <v>0.3</v>
      </c>
      <c r="AA97" s="7">
        <v>0.7778</v>
      </c>
      <c r="AB97" s="7">
        <v>0.5</v>
      </c>
      <c r="AC97" s="7">
        <v>0.5896</v>
      </c>
      <c r="AD97" s="7">
        <v>3.0</v>
      </c>
      <c r="AE97" s="7">
        <v>0.231</v>
      </c>
      <c r="AF97" s="7">
        <v>0.769</v>
      </c>
      <c r="AG97" s="7">
        <v>0.0</v>
      </c>
      <c r="AH97" s="7">
        <v>3.0</v>
      </c>
      <c r="AI97" s="7">
        <v>1.0</v>
      </c>
      <c r="AJ97" s="7">
        <v>5.0</v>
      </c>
      <c r="AK97" s="7">
        <v>2.0</v>
      </c>
      <c r="AL97" s="7">
        <v>3.0</v>
      </c>
      <c r="AM97" s="7">
        <v>0.078</v>
      </c>
      <c r="AN97" s="7">
        <v>1.0</v>
      </c>
      <c r="AO97" s="7">
        <v>3.0</v>
      </c>
      <c r="AP97" s="7">
        <v>0.316</v>
      </c>
      <c r="AQ97" s="7">
        <v>0.2615</v>
      </c>
      <c r="AR97" s="7">
        <v>1.03</v>
      </c>
      <c r="AS97" s="7">
        <v>0.73</v>
      </c>
      <c r="AU97" s="7">
        <v>199.95</v>
      </c>
      <c r="AV97" s="7">
        <v>78.0</v>
      </c>
      <c r="AW97" s="7">
        <v>30.0</v>
      </c>
      <c r="AX97" s="7">
        <v>23.0</v>
      </c>
      <c r="AY97" s="7">
        <v>29.94</v>
      </c>
      <c r="AZ97" s="7">
        <v>7.48</v>
      </c>
      <c r="BA97" s="7">
        <v>0.0</v>
      </c>
      <c r="BB97" s="7">
        <v>1.5</v>
      </c>
      <c r="BC97" s="7">
        <v>4.49</v>
      </c>
      <c r="BD97" s="7">
        <v>1.5</v>
      </c>
      <c r="BE97" s="7">
        <v>4.49</v>
      </c>
      <c r="BF97" s="7" t="s">
        <v>76</v>
      </c>
      <c r="BG97" s="10"/>
      <c r="BH97" s="12"/>
      <c r="BI97" s="12"/>
      <c r="BJ97" s="12">
        <f t="shared" si="1"/>
        <v>0.05567928731</v>
      </c>
      <c r="BK97" s="12">
        <f t="shared" si="2"/>
        <v>0.6923076923</v>
      </c>
      <c r="BL97" s="12">
        <f t="shared" si="3"/>
        <v>1.538461538</v>
      </c>
      <c r="BM97" s="13">
        <f t="shared" si="4"/>
        <v>0.2</v>
      </c>
      <c r="BN97" s="13">
        <f t="shared" si="5"/>
        <v>0.45</v>
      </c>
      <c r="BO97" s="12">
        <f t="shared" si="6"/>
        <v>0.35</v>
      </c>
      <c r="BP97" s="14">
        <f t="shared" si="7"/>
        <v>0</v>
      </c>
    </row>
    <row r="98">
      <c r="A98" s="7" t="s">
        <v>168</v>
      </c>
      <c r="B98" s="7" t="s">
        <v>169</v>
      </c>
      <c r="C98" s="8">
        <v>46187.0</v>
      </c>
      <c r="D98" s="7" t="s">
        <v>170</v>
      </c>
      <c r="E98" s="7" t="s">
        <v>71</v>
      </c>
      <c r="F98" s="7" t="s">
        <v>127</v>
      </c>
      <c r="G98" s="7">
        <v>93.0</v>
      </c>
      <c r="H98" s="7">
        <v>89.0</v>
      </c>
      <c r="I98" s="7">
        <v>3.0</v>
      </c>
      <c r="J98" s="7" t="s">
        <v>89</v>
      </c>
      <c r="K98" s="7" t="b">
        <v>1</v>
      </c>
      <c r="L98" s="2">
        <v>30.967</v>
      </c>
      <c r="M98" s="9">
        <v>1.2902777777777779</v>
      </c>
      <c r="N98" s="7">
        <v>30.967</v>
      </c>
      <c r="O98" s="9">
        <v>1.2902777777777779</v>
      </c>
      <c r="P98" s="7">
        <v>17.0</v>
      </c>
      <c r="Q98" s="7">
        <v>2.0</v>
      </c>
      <c r="R98" s="7">
        <v>6.0</v>
      </c>
      <c r="S98" s="7">
        <v>3.0</v>
      </c>
      <c r="T98" s="7">
        <v>8.0</v>
      </c>
      <c r="U98" s="7">
        <v>4.0</v>
      </c>
      <c r="V98" s="7">
        <v>4.0</v>
      </c>
      <c r="W98" s="7">
        <v>5.0</v>
      </c>
      <c r="X98" s="7">
        <v>14.0</v>
      </c>
      <c r="Y98" s="7">
        <v>0.3333</v>
      </c>
      <c r="Z98" s="7">
        <v>0.375</v>
      </c>
      <c r="AA98" s="7">
        <v>1.0</v>
      </c>
      <c r="AB98" s="7">
        <v>0.4643</v>
      </c>
      <c r="AC98" s="7">
        <v>0.5393</v>
      </c>
      <c r="AD98" s="7">
        <v>1.0</v>
      </c>
      <c r="AE98" s="7">
        <v>0.429</v>
      </c>
      <c r="AF98" s="7">
        <v>0.571</v>
      </c>
      <c r="AG98" s="7">
        <v>1.0</v>
      </c>
      <c r="AH98" s="7">
        <v>0.0</v>
      </c>
      <c r="AI98" s="7">
        <v>2.0</v>
      </c>
      <c r="AJ98" s="7">
        <v>5.0</v>
      </c>
      <c r="AK98" s="7">
        <v>1.0</v>
      </c>
      <c r="AL98" s="7">
        <v>4.0</v>
      </c>
      <c r="AM98" s="7">
        <v>0.066</v>
      </c>
      <c r="AN98" s="7">
        <v>0.0</v>
      </c>
      <c r="AO98" s="7">
        <v>0.0</v>
      </c>
      <c r="AP98" s="7">
        <v>0.215</v>
      </c>
      <c r="AQ98" s="7">
        <v>0.2008</v>
      </c>
      <c r="AR98" s="7">
        <v>0.94</v>
      </c>
      <c r="AS98" s="7">
        <v>0.89</v>
      </c>
      <c r="AU98" s="7">
        <v>199.95</v>
      </c>
      <c r="AV98" s="7">
        <v>78.0</v>
      </c>
      <c r="AW98" s="7">
        <v>30.0</v>
      </c>
      <c r="AX98" s="7">
        <v>23.0</v>
      </c>
      <c r="AY98" s="7">
        <v>19.76</v>
      </c>
      <c r="AZ98" s="7">
        <v>5.81</v>
      </c>
      <c r="BA98" s="7">
        <v>1.16</v>
      </c>
      <c r="BB98" s="7">
        <v>2.33</v>
      </c>
      <c r="BC98" s="7">
        <v>0.0</v>
      </c>
      <c r="BD98" s="7">
        <v>0.0</v>
      </c>
      <c r="BE98" s="7">
        <v>0.0</v>
      </c>
      <c r="BF98" s="7" t="s">
        <v>76</v>
      </c>
      <c r="BG98" s="10"/>
      <c r="BH98" s="12"/>
      <c r="BI98" s="12"/>
      <c r="BJ98" s="12">
        <f t="shared" si="1"/>
        <v>0.1126126126</v>
      </c>
      <c r="BK98" s="12">
        <f t="shared" si="2"/>
        <v>0.2857142857</v>
      </c>
      <c r="BL98" s="12">
        <f t="shared" si="3"/>
        <v>1.214285714</v>
      </c>
      <c r="BM98" s="13">
        <f t="shared" si="4"/>
        <v>0.2352941176</v>
      </c>
      <c r="BN98" s="13">
        <f t="shared" si="5"/>
        <v>0.5294117647</v>
      </c>
      <c r="BO98" s="12">
        <f t="shared" si="6"/>
        <v>0.2352941176</v>
      </c>
      <c r="BP98" s="14">
        <f t="shared" si="7"/>
        <v>0.5</v>
      </c>
    </row>
    <row r="99">
      <c r="A99" s="7" t="s">
        <v>168</v>
      </c>
      <c r="B99" s="7" t="s">
        <v>169</v>
      </c>
      <c r="C99" s="8">
        <v>46187.0</v>
      </c>
      <c r="D99" s="7" t="s">
        <v>170</v>
      </c>
      <c r="E99" s="7" t="s">
        <v>71</v>
      </c>
      <c r="F99" s="7" t="s">
        <v>127</v>
      </c>
      <c r="G99" s="7">
        <v>93.0</v>
      </c>
      <c r="H99" s="7">
        <v>89.0</v>
      </c>
      <c r="I99" s="7">
        <v>5.0</v>
      </c>
      <c r="J99" s="7" t="s">
        <v>90</v>
      </c>
      <c r="K99" s="7" t="b">
        <v>0</v>
      </c>
      <c r="L99" s="2">
        <v>22.483</v>
      </c>
      <c r="M99" s="9">
        <v>0.9368055555555556</v>
      </c>
      <c r="N99" s="7">
        <v>22.483</v>
      </c>
      <c r="O99" s="15">
        <v>0.9368055555555556</v>
      </c>
      <c r="P99" s="7">
        <v>4.0</v>
      </c>
      <c r="Q99" s="7">
        <v>0.0</v>
      </c>
      <c r="R99" s="7">
        <v>0.0</v>
      </c>
      <c r="S99" s="7">
        <v>0.0</v>
      </c>
      <c r="T99" s="7">
        <v>2.0</v>
      </c>
      <c r="U99" s="7">
        <v>4.0</v>
      </c>
      <c r="V99" s="7">
        <v>4.0</v>
      </c>
      <c r="W99" s="7">
        <v>0.0</v>
      </c>
      <c r="X99" s="7">
        <v>2.0</v>
      </c>
      <c r="Z99" s="7">
        <v>0.0</v>
      </c>
      <c r="AA99" s="7">
        <v>1.0</v>
      </c>
      <c r="AB99" s="7">
        <v>0.0</v>
      </c>
      <c r="AC99" s="7">
        <v>0.5319</v>
      </c>
      <c r="AD99" s="7">
        <v>2.0</v>
      </c>
      <c r="AE99" s="7">
        <v>0.0</v>
      </c>
      <c r="AF99" s="7">
        <v>1.0</v>
      </c>
      <c r="AG99" s="7">
        <v>5.0</v>
      </c>
      <c r="AH99" s="7">
        <v>3.0</v>
      </c>
      <c r="AI99" s="7">
        <v>2.0</v>
      </c>
      <c r="AJ99" s="7">
        <v>6.0</v>
      </c>
      <c r="AK99" s="7">
        <v>0.0</v>
      </c>
      <c r="AL99" s="7">
        <v>6.0</v>
      </c>
      <c r="AM99" s="7">
        <v>0.111</v>
      </c>
      <c r="AN99" s="7">
        <v>0.0</v>
      </c>
      <c r="AO99" s="7">
        <v>2.0</v>
      </c>
      <c r="AP99" s="7">
        <v>0.116</v>
      </c>
      <c r="AQ99" s="7">
        <v>0.0897</v>
      </c>
      <c r="AR99" s="7">
        <v>1.13</v>
      </c>
      <c r="AS99" s="7">
        <v>0.78</v>
      </c>
      <c r="AU99" s="7">
        <v>199.95</v>
      </c>
      <c r="AV99" s="7">
        <v>78.0</v>
      </c>
      <c r="AW99" s="7">
        <v>30.0</v>
      </c>
      <c r="AX99" s="7">
        <v>23.0</v>
      </c>
      <c r="AY99" s="7">
        <v>6.4</v>
      </c>
      <c r="AZ99" s="7">
        <v>9.61</v>
      </c>
      <c r="BA99" s="7">
        <v>8.01</v>
      </c>
      <c r="BB99" s="7">
        <v>3.2</v>
      </c>
      <c r="BC99" s="7">
        <v>3.2</v>
      </c>
      <c r="BD99" s="7">
        <v>0.0</v>
      </c>
      <c r="BE99" s="7">
        <v>4.8</v>
      </c>
      <c r="BF99" s="7" t="s">
        <v>73</v>
      </c>
      <c r="BG99" s="10"/>
      <c r="BH99" s="12"/>
      <c r="BI99" s="12"/>
      <c r="BJ99" s="12">
        <f t="shared" si="1"/>
        <v>0.3472222222</v>
      </c>
      <c r="BK99" s="12">
        <f t="shared" si="2"/>
        <v>2</v>
      </c>
      <c r="BL99" s="12">
        <f t="shared" si="3"/>
        <v>2</v>
      </c>
      <c r="BM99" s="13">
        <f t="shared" si="4"/>
        <v>0</v>
      </c>
      <c r="BN99" s="13">
        <f t="shared" si="5"/>
        <v>0</v>
      </c>
      <c r="BO99" s="12">
        <f t="shared" si="6"/>
        <v>1</v>
      </c>
      <c r="BP99" s="14">
        <f t="shared" si="7"/>
        <v>2.5</v>
      </c>
    </row>
    <row r="100">
      <c r="A100" s="7" t="s">
        <v>168</v>
      </c>
      <c r="B100" s="7" t="s">
        <v>169</v>
      </c>
      <c r="C100" s="8">
        <v>46187.0</v>
      </c>
      <c r="D100" s="7" t="s">
        <v>170</v>
      </c>
      <c r="E100" s="7" t="s">
        <v>71</v>
      </c>
      <c r="F100" s="7" t="s">
        <v>127</v>
      </c>
      <c r="G100" s="7">
        <v>93.0</v>
      </c>
      <c r="H100" s="7">
        <v>89.0</v>
      </c>
      <c r="I100" s="7">
        <v>8.0</v>
      </c>
      <c r="J100" s="7" t="s">
        <v>91</v>
      </c>
      <c r="K100" s="7" t="b">
        <v>1</v>
      </c>
      <c r="L100" s="2">
        <v>24.833</v>
      </c>
      <c r="M100" s="9">
        <v>1.0347222222222223</v>
      </c>
      <c r="N100" s="7">
        <v>24.833</v>
      </c>
      <c r="O100" s="9">
        <v>1.0347222222222223</v>
      </c>
      <c r="P100" s="7">
        <v>8.0</v>
      </c>
      <c r="Q100" s="7">
        <v>3.0</v>
      </c>
      <c r="R100" s="7">
        <v>4.0</v>
      </c>
      <c r="S100" s="7">
        <v>0.0</v>
      </c>
      <c r="T100" s="7">
        <v>1.0</v>
      </c>
      <c r="U100" s="7">
        <v>2.0</v>
      </c>
      <c r="V100" s="7">
        <v>2.0</v>
      </c>
      <c r="W100" s="7">
        <v>3.0</v>
      </c>
      <c r="X100" s="7">
        <v>5.0</v>
      </c>
      <c r="Y100" s="7">
        <v>0.75</v>
      </c>
      <c r="Z100" s="7">
        <v>0.0</v>
      </c>
      <c r="AA100" s="7">
        <v>1.0</v>
      </c>
      <c r="AB100" s="7">
        <v>0.6</v>
      </c>
      <c r="AC100" s="7">
        <v>0.6803</v>
      </c>
      <c r="AD100" s="7">
        <v>1.0</v>
      </c>
      <c r="AE100" s="7">
        <v>0.8</v>
      </c>
      <c r="AF100" s="7">
        <v>0.2</v>
      </c>
      <c r="AG100" s="7">
        <v>2.0</v>
      </c>
      <c r="AH100" s="7">
        <v>1.0</v>
      </c>
      <c r="AI100" s="7">
        <v>4.0</v>
      </c>
      <c r="AJ100" s="7">
        <v>2.0</v>
      </c>
      <c r="AK100" s="7">
        <v>1.0</v>
      </c>
      <c r="AL100" s="7">
        <v>1.0</v>
      </c>
      <c r="AM100" s="7">
        <v>0.029</v>
      </c>
      <c r="AN100" s="7">
        <v>0.0</v>
      </c>
      <c r="AO100" s="7">
        <v>3.0</v>
      </c>
      <c r="AP100" s="7">
        <v>0.147</v>
      </c>
      <c r="AQ100" s="7">
        <v>0.1393</v>
      </c>
      <c r="AR100" s="7">
        <v>0.85</v>
      </c>
      <c r="AS100" s="7">
        <v>0.87</v>
      </c>
      <c r="AU100" s="7">
        <v>199.95</v>
      </c>
      <c r="AV100" s="7">
        <v>78.0</v>
      </c>
      <c r="AW100" s="7">
        <v>30.0</v>
      </c>
      <c r="AX100" s="7">
        <v>23.0</v>
      </c>
      <c r="AY100" s="7">
        <v>11.6</v>
      </c>
      <c r="AZ100" s="7">
        <v>2.9</v>
      </c>
      <c r="BA100" s="7">
        <v>2.9</v>
      </c>
      <c r="BB100" s="7">
        <v>5.8</v>
      </c>
      <c r="BC100" s="7">
        <v>4.35</v>
      </c>
      <c r="BD100" s="7">
        <v>0.0</v>
      </c>
      <c r="BE100" s="7">
        <v>1.45</v>
      </c>
      <c r="BF100" s="7" t="s">
        <v>86</v>
      </c>
      <c r="BG100" s="10"/>
      <c r="BH100" s="12"/>
      <c r="BI100" s="12"/>
      <c r="BJ100" s="12">
        <f t="shared" si="1"/>
        <v>0.4048582996</v>
      </c>
      <c r="BK100" s="12">
        <f t="shared" si="2"/>
        <v>0.4</v>
      </c>
      <c r="BL100" s="12">
        <f t="shared" si="3"/>
        <v>1.6</v>
      </c>
      <c r="BM100" s="13">
        <f t="shared" si="4"/>
        <v>0.75</v>
      </c>
      <c r="BN100" s="13">
        <f t="shared" si="5"/>
        <v>0</v>
      </c>
      <c r="BO100" s="12">
        <f t="shared" si="6"/>
        <v>0.25</v>
      </c>
      <c r="BP100" s="14">
        <f t="shared" si="7"/>
        <v>0.5</v>
      </c>
    </row>
    <row r="101">
      <c r="A101" s="7" t="s">
        <v>168</v>
      </c>
      <c r="B101" s="7" t="s">
        <v>169</v>
      </c>
      <c r="C101" s="8">
        <v>46187.0</v>
      </c>
      <c r="D101" s="7" t="s">
        <v>170</v>
      </c>
      <c r="E101" s="7" t="s">
        <v>71</v>
      </c>
      <c r="F101" s="7" t="s">
        <v>127</v>
      </c>
      <c r="G101" s="7">
        <v>93.0</v>
      </c>
      <c r="H101" s="7">
        <v>89.0</v>
      </c>
      <c r="I101" s="7">
        <v>10.0</v>
      </c>
      <c r="J101" s="7" t="s">
        <v>92</v>
      </c>
      <c r="K101" s="7" t="b">
        <v>1</v>
      </c>
      <c r="L101" s="2">
        <v>34.017</v>
      </c>
      <c r="M101" s="9">
        <v>1.417361111111111</v>
      </c>
      <c r="N101" s="7">
        <v>34.017</v>
      </c>
      <c r="O101" s="9">
        <v>1.417361111111111</v>
      </c>
      <c r="P101" s="7">
        <v>14.0</v>
      </c>
      <c r="Q101" s="7">
        <v>3.0</v>
      </c>
      <c r="R101" s="7">
        <v>5.0</v>
      </c>
      <c r="S101" s="7">
        <v>2.0</v>
      </c>
      <c r="T101" s="7">
        <v>7.0</v>
      </c>
      <c r="U101" s="7">
        <v>2.0</v>
      </c>
      <c r="V101" s="7">
        <v>3.0</v>
      </c>
      <c r="W101" s="7">
        <v>5.0</v>
      </c>
      <c r="X101" s="7">
        <v>12.0</v>
      </c>
      <c r="Y101" s="7">
        <v>0.6</v>
      </c>
      <c r="Z101" s="7">
        <v>0.2857</v>
      </c>
      <c r="AA101" s="7">
        <v>0.6667</v>
      </c>
      <c r="AB101" s="7">
        <v>0.5</v>
      </c>
      <c r="AC101" s="7">
        <v>0.5255</v>
      </c>
      <c r="AD101" s="7">
        <v>1.0</v>
      </c>
      <c r="AE101" s="7">
        <v>0.417</v>
      </c>
      <c r="AF101" s="7">
        <v>0.583</v>
      </c>
      <c r="AG101" s="7">
        <v>8.0</v>
      </c>
      <c r="AH101" s="7">
        <v>0.0</v>
      </c>
      <c r="AI101" s="7">
        <v>2.0</v>
      </c>
      <c r="AJ101" s="7">
        <v>5.0</v>
      </c>
      <c r="AK101" s="7">
        <v>2.0</v>
      </c>
      <c r="AL101" s="7">
        <v>3.0</v>
      </c>
      <c r="AM101" s="7">
        <v>0.062</v>
      </c>
      <c r="AN101" s="7">
        <v>1.0</v>
      </c>
      <c r="AO101" s="7">
        <v>3.0</v>
      </c>
      <c r="AP101" s="7">
        <v>0.184</v>
      </c>
      <c r="AQ101" s="7">
        <v>0.1577</v>
      </c>
      <c r="AR101" s="7">
        <v>1.02</v>
      </c>
      <c r="AS101" s="7">
        <v>0.92</v>
      </c>
      <c r="AU101" s="7">
        <v>199.95</v>
      </c>
      <c r="AV101" s="7">
        <v>78.0</v>
      </c>
      <c r="AW101" s="7">
        <v>30.0</v>
      </c>
      <c r="AX101" s="7">
        <v>23.0</v>
      </c>
      <c r="AY101" s="7">
        <v>14.82</v>
      </c>
      <c r="AZ101" s="7">
        <v>5.29</v>
      </c>
      <c r="BA101" s="7">
        <v>8.47</v>
      </c>
      <c r="BB101" s="7">
        <v>2.12</v>
      </c>
      <c r="BC101" s="7">
        <v>3.17</v>
      </c>
      <c r="BD101" s="7">
        <v>1.06</v>
      </c>
      <c r="BE101" s="7">
        <v>0.0</v>
      </c>
      <c r="BF101" s="7" t="s">
        <v>76</v>
      </c>
      <c r="BG101" s="10"/>
      <c r="BH101" s="12"/>
      <c r="BI101" s="12"/>
      <c r="BJ101" s="12">
        <f t="shared" si="1"/>
        <v>0.1305483029</v>
      </c>
      <c r="BK101" s="12">
        <f t="shared" si="2"/>
        <v>0.25</v>
      </c>
      <c r="BL101" s="12">
        <f t="shared" si="3"/>
        <v>1.166666667</v>
      </c>
      <c r="BM101" s="13">
        <f t="shared" si="4"/>
        <v>0.4285714286</v>
      </c>
      <c r="BN101" s="13">
        <f t="shared" si="5"/>
        <v>0.4285714286</v>
      </c>
      <c r="BO101" s="12">
        <f t="shared" si="6"/>
        <v>0.1428571429</v>
      </c>
      <c r="BP101" s="14">
        <f t="shared" si="7"/>
        <v>4</v>
      </c>
    </row>
    <row r="102">
      <c r="A102" s="7" t="s">
        <v>168</v>
      </c>
      <c r="B102" s="7" t="s">
        <v>169</v>
      </c>
      <c r="C102" s="8">
        <v>46187.0</v>
      </c>
      <c r="D102" s="7" t="s">
        <v>170</v>
      </c>
      <c r="E102" s="7" t="s">
        <v>71</v>
      </c>
      <c r="F102" s="7" t="s">
        <v>127</v>
      </c>
      <c r="G102" s="7">
        <v>93.0</v>
      </c>
      <c r="H102" s="7">
        <v>89.0</v>
      </c>
      <c r="I102" s="7">
        <v>23.0</v>
      </c>
      <c r="J102" s="7" t="s">
        <v>93</v>
      </c>
      <c r="K102" s="7" t="b">
        <v>1</v>
      </c>
      <c r="L102" s="2">
        <v>21.583</v>
      </c>
      <c r="M102" s="9">
        <v>0.8993055555555556</v>
      </c>
      <c r="N102" s="7">
        <v>21.583</v>
      </c>
      <c r="O102" s="15">
        <v>0.8993055555555556</v>
      </c>
      <c r="P102" s="7">
        <v>8.0</v>
      </c>
      <c r="Q102" s="7">
        <v>4.0</v>
      </c>
      <c r="R102" s="7">
        <v>9.0</v>
      </c>
      <c r="S102" s="7">
        <v>0.0</v>
      </c>
      <c r="T102" s="7">
        <v>2.0</v>
      </c>
      <c r="U102" s="7">
        <v>0.0</v>
      </c>
      <c r="V102" s="7">
        <v>2.0</v>
      </c>
      <c r="W102" s="7">
        <v>4.0</v>
      </c>
      <c r="X102" s="7">
        <v>11.0</v>
      </c>
      <c r="Y102" s="7">
        <v>0.4444</v>
      </c>
      <c r="Z102" s="7">
        <v>0.0</v>
      </c>
      <c r="AA102" s="7">
        <v>0.0</v>
      </c>
      <c r="AB102" s="7">
        <v>0.3636</v>
      </c>
      <c r="AC102" s="7">
        <v>0.3367</v>
      </c>
      <c r="AD102" s="7">
        <v>1.0</v>
      </c>
      <c r="AE102" s="7">
        <v>0.818</v>
      </c>
      <c r="AF102" s="7">
        <v>0.182</v>
      </c>
      <c r="AG102" s="7">
        <v>1.0</v>
      </c>
      <c r="AH102" s="7">
        <v>2.0</v>
      </c>
      <c r="AI102" s="7">
        <v>4.0</v>
      </c>
      <c r="AJ102" s="7">
        <v>4.0</v>
      </c>
      <c r="AK102" s="7">
        <v>0.0</v>
      </c>
      <c r="AL102" s="7">
        <v>4.0</v>
      </c>
      <c r="AM102" s="7">
        <v>0.08</v>
      </c>
      <c r="AN102" s="7">
        <v>0.0</v>
      </c>
      <c r="AO102" s="7">
        <v>1.0</v>
      </c>
      <c r="AP102" s="7">
        <v>0.288</v>
      </c>
      <c r="AQ102" s="7">
        <v>0.2576</v>
      </c>
      <c r="AR102" s="7">
        <v>0.79</v>
      </c>
      <c r="AS102" s="7">
        <v>1.04</v>
      </c>
      <c r="AU102" s="7">
        <v>199.95</v>
      </c>
      <c r="AV102" s="7">
        <v>78.0</v>
      </c>
      <c r="AW102" s="7">
        <v>30.0</v>
      </c>
      <c r="AX102" s="7">
        <v>23.0</v>
      </c>
      <c r="AY102" s="7">
        <v>13.34</v>
      </c>
      <c r="AZ102" s="7">
        <v>6.67</v>
      </c>
      <c r="BA102" s="7">
        <v>1.67</v>
      </c>
      <c r="BB102" s="7">
        <v>6.67</v>
      </c>
      <c r="BC102" s="7">
        <v>1.67</v>
      </c>
      <c r="BD102" s="7">
        <v>0.0</v>
      </c>
      <c r="BE102" s="7">
        <v>3.34</v>
      </c>
      <c r="BF102" s="7" t="s">
        <v>79</v>
      </c>
      <c r="BG102" s="10"/>
      <c r="BH102" s="12"/>
      <c r="BI102" s="12"/>
      <c r="BJ102" s="12">
        <f t="shared" si="1"/>
        <v>0.2518891688</v>
      </c>
      <c r="BK102" s="12">
        <f t="shared" si="2"/>
        <v>0.1818181818</v>
      </c>
      <c r="BL102" s="12">
        <f t="shared" si="3"/>
        <v>0.7272727273</v>
      </c>
      <c r="BM102" s="13">
        <f t="shared" si="4"/>
        <v>1</v>
      </c>
      <c r="BN102" s="13">
        <f t="shared" si="5"/>
        <v>0</v>
      </c>
      <c r="BO102" s="12">
        <f t="shared" si="6"/>
        <v>0</v>
      </c>
      <c r="BP102" s="14">
        <f t="shared" si="7"/>
        <v>0.25</v>
      </c>
    </row>
    <row r="103">
      <c r="A103" s="7" t="s">
        <v>168</v>
      </c>
      <c r="B103" s="7" t="s">
        <v>169</v>
      </c>
      <c r="C103" s="8">
        <v>46187.0</v>
      </c>
      <c r="D103" s="7" t="s">
        <v>170</v>
      </c>
      <c r="E103" s="7" t="s">
        <v>71</v>
      </c>
      <c r="F103" s="7" t="s">
        <v>127</v>
      </c>
      <c r="G103" s="7">
        <v>93.0</v>
      </c>
      <c r="H103" s="7">
        <v>89.0</v>
      </c>
      <c r="I103" s="7">
        <v>24.0</v>
      </c>
      <c r="J103" s="7" t="s">
        <v>94</v>
      </c>
      <c r="K103" s="7" t="b">
        <v>1</v>
      </c>
      <c r="L103" s="2">
        <v>23.8</v>
      </c>
      <c r="M103" s="9">
        <v>0.9916666666666667</v>
      </c>
      <c r="N103" s="7">
        <v>23.8</v>
      </c>
      <c r="O103" s="15">
        <v>0.9916666666666667</v>
      </c>
      <c r="P103" s="7">
        <v>16.0</v>
      </c>
      <c r="Q103" s="7">
        <v>7.0</v>
      </c>
      <c r="R103" s="7">
        <v>14.0</v>
      </c>
      <c r="S103" s="7">
        <v>0.0</v>
      </c>
      <c r="T103" s="7">
        <v>0.0</v>
      </c>
      <c r="U103" s="7">
        <v>2.0</v>
      </c>
      <c r="V103" s="7">
        <v>4.0</v>
      </c>
      <c r="W103" s="7">
        <v>7.0</v>
      </c>
      <c r="X103" s="7">
        <v>14.0</v>
      </c>
      <c r="Y103" s="7">
        <v>0.5</v>
      </c>
      <c r="AA103" s="7">
        <v>0.5</v>
      </c>
      <c r="AB103" s="7">
        <v>0.5</v>
      </c>
      <c r="AC103" s="7">
        <v>0.5076</v>
      </c>
      <c r="AD103" s="7">
        <v>2.0</v>
      </c>
      <c r="AE103" s="7">
        <v>1.0</v>
      </c>
      <c r="AF103" s="7">
        <v>0.0</v>
      </c>
      <c r="AG103" s="7">
        <v>2.0</v>
      </c>
      <c r="AH103" s="7">
        <v>4.0</v>
      </c>
      <c r="AI103" s="7">
        <v>4.0</v>
      </c>
      <c r="AJ103" s="7">
        <v>5.0</v>
      </c>
      <c r="AK103" s="7">
        <v>2.0</v>
      </c>
      <c r="AL103" s="7">
        <v>3.0</v>
      </c>
      <c r="AM103" s="7">
        <v>0.094</v>
      </c>
      <c r="AN103" s="7">
        <v>2.0</v>
      </c>
      <c r="AO103" s="7">
        <v>2.0</v>
      </c>
      <c r="AP103" s="7">
        <v>0.355</v>
      </c>
      <c r="AQ103" s="7">
        <v>0.2907</v>
      </c>
      <c r="AR103" s="7">
        <v>0.81</v>
      </c>
      <c r="AS103" s="7">
        <v>1.04</v>
      </c>
      <c r="AU103" s="7">
        <v>199.95</v>
      </c>
      <c r="AV103" s="7">
        <v>78.0</v>
      </c>
      <c r="AW103" s="7">
        <v>30.0</v>
      </c>
      <c r="AX103" s="7">
        <v>23.0</v>
      </c>
      <c r="AY103" s="7">
        <v>24.2</v>
      </c>
      <c r="AZ103" s="7">
        <v>7.56</v>
      </c>
      <c r="BA103" s="7">
        <v>3.03</v>
      </c>
      <c r="BB103" s="7">
        <v>6.05</v>
      </c>
      <c r="BC103" s="7">
        <v>3.03</v>
      </c>
      <c r="BD103" s="7">
        <v>3.03</v>
      </c>
      <c r="BE103" s="7">
        <v>6.05</v>
      </c>
      <c r="BF103" s="7" t="s">
        <v>86</v>
      </c>
      <c r="BG103" s="10"/>
      <c r="BH103" s="12"/>
      <c r="BI103" s="12"/>
      <c r="BJ103" s="12">
        <f t="shared" si="1"/>
        <v>0.2024291498</v>
      </c>
      <c r="BK103" s="12">
        <f t="shared" si="2"/>
        <v>0.2857142857</v>
      </c>
      <c r="BL103" s="12">
        <f t="shared" si="3"/>
        <v>1.142857143</v>
      </c>
      <c r="BM103" s="13">
        <f t="shared" si="4"/>
        <v>0.875</v>
      </c>
      <c r="BN103" s="13">
        <f t="shared" si="5"/>
        <v>0</v>
      </c>
      <c r="BO103" s="12">
        <f t="shared" si="6"/>
        <v>0.125</v>
      </c>
      <c r="BP103" s="14">
        <f t="shared" si="7"/>
        <v>0.5</v>
      </c>
    </row>
    <row r="104">
      <c r="A104" s="7" t="s">
        <v>171</v>
      </c>
      <c r="B104" s="7" t="s">
        <v>172</v>
      </c>
      <c r="C104" s="8">
        <v>46187.0</v>
      </c>
      <c r="D104" s="7" t="s">
        <v>173</v>
      </c>
      <c r="E104" s="7" t="s">
        <v>149</v>
      </c>
      <c r="F104" s="7" t="s">
        <v>98</v>
      </c>
      <c r="G104" s="7">
        <v>98.0</v>
      </c>
      <c r="H104" s="7">
        <v>65.0</v>
      </c>
      <c r="I104" s="7">
        <v>1.0</v>
      </c>
      <c r="J104" s="7" t="s">
        <v>157</v>
      </c>
      <c r="K104" s="7" t="b">
        <v>1</v>
      </c>
      <c r="L104" s="2">
        <v>23.217</v>
      </c>
      <c r="M104" s="9">
        <v>0.9673611111111111</v>
      </c>
      <c r="N104" s="7">
        <v>23.217</v>
      </c>
      <c r="O104" s="15">
        <v>0.9673611111111111</v>
      </c>
      <c r="P104" s="7">
        <v>11.0</v>
      </c>
      <c r="Q104" s="7">
        <v>3.0</v>
      </c>
      <c r="R104" s="7">
        <v>6.0</v>
      </c>
      <c r="S104" s="7">
        <v>1.0</v>
      </c>
      <c r="T104" s="7">
        <v>2.0</v>
      </c>
      <c r="U104" s="7">
        <v>2.0</v>
      </c>
      <c r="V104" s="7">
        <v>2.0</v>
      </c>
      <c r="W104" s="7">
        <v>4.0</v>
      </c>
      <c r="X104" s="7">
        <v>8.0</v>
      </c>
      <c r="Y104" s="7">
        <v>0.5</v>
      </c>
      <c r="Z104" s="7">
        <v>0.5</v>
      </c>
      <c r="AA104" s="7">
        <v>1.0</v>
      </c>
      <c r="AB104" s="7">
        <v>0.5625</v>
      </c>
      <c r="AC104" s="7">
        <v>0.6194</v>
      </c>
      <c r="AD104" s="7">
        <v>1.0</v>
      </c>
      <c r="AE104" s="7">
        <v>0.75</v>
      </c>
      <c r="AF104" s="7">
        <v>0.25</v>
      </c>
      <c r="AG104" s="7">
        <v>5.0</v>
      </c>
      <c r="AH104" s="7">
        <v>2.0</v>
      </c>
      <c r="AI104" s="7">
        <v>3.0</v>
      </c>
      <c r="AJ104" s="7">
        <v>2.0</v>
      </c>
      <c r="AK104" s="7">
        <v>0.0</v>
      </c>
      <c r="AL104" s="7">
        <v>2.0</v>
      </c>
      <c r="AM104" s="7">
        <v>0.047</v>
      </c>
      <c r="AN104" s="7">
        <v>0.0</v>
      </c>
      <c r="AO104" s="7">
        <v>2.0</v>
      </c>
      <c r="AP104" s="7">
        <v>0.217</v>
      </c>
      <c r="AQ104" s="7">
        <v>0.1901</v>
      </c>
      <c r="AR104" s="7">
        <v>1.18</v>
      </c>
      <c r="AS104" s="7">
        <v>0.87</v>
      </c>
      <c r="AU104" s="7">
        <v>199.917</v>
      </c>
      <c r="AV104" s="7">
        <v>80.0</v>
      </c>
      <c r="AW104" s="7">
        <v>15.0</v>
      </c>
      <c r="AX104" s="7">
        <v>21.0</v>
      </c>
      <c r="AY104" s="7">
        <v>17.06</v>
      </c>
      <c r="AZ104" s="7">
        <v>3.1</v>
      </c>
      <c r="BA104" s="7">
        <v>7.75</v>
      </c>
      <c r="BB104" s="7">
        <v>4.65</v>
      </c>
      <c r="BC104" s="7">
        <v>3.1</v>
      </c>
      <c r="BD104" s="7">
        <v>0.0</v>
      </c>
      <c r="BE104" s="7">
        <v>3.1</v>
      </c>
      <c r="BF104" s="7" t="s">
        <v>76</v>
      </c>
      <c r="BG104" s="10"/>
      <c r="BH104" s="12"/>
      <c r="BI104" s="12"/>
      <c r="BJ104" s="12">
        <f t="shared" si="1"/>
        <v>0.2525252525</v>
      </c>
      <c r="BK104" s="12">
        <f t="shared" si="2"/>
        <v>0.25</v>
      </c>
      <c r="BL104" s="12">
        <f t="shared" si="3"/>
        <v>1.375</v>
      </c>
      <c r="BM104" s="13">
        <f t="shared" si="4"/>
        <v>0.5454545455</v>
      </c>
      <c r="BN104" s="13">
        <f t="shared" si="5"/>
        <v>0.2727272727</v>
      </c>
      <c r="BO104" s="12">
        <f t="shared" si="6"/>
        <v>0.1818181818</v>
      </c>
      <c r="BP104" s="14">
        <f t="shared" si="7"/>
        <v>1.666666667</v>
      </c>
    </row>
    <row r="105">
      <c r="A105" s="7" t="s">
        <v>171</v>
      </c>
      <c r="B105" s="7" t="s">
        <v>172</v>
      </c>
      <c r="C105" s="8">
        <v>46187.0</v>
      </c>
      <c r="D105" s="7" t="s">
        <v>173</v>
      </c>
      <c r="E105" s="7" t="s">
        <v>149</v>
      </c>
      <c r="F105" s="7" t="s">
        <v>98</v>
      </c>
      <c r="G105" s="7">
        <v>98.0</v>
      </c>
      <c r="H105" s="7">
        <v>65.0</v>
      </c>
      <c r="I105" s="7">
        <v>3.0</v>
      </c>
      <c r="J105" s="7" t="s">
        <v>158</v>
      </c>
      <c r="K105" s="7" t="b">
        <v>1</v>
      </c>
      <c r="L105" s="2">
        <v>29.217</v>
      </c>
      <c r="M105" s="9">
        <v>1.2173611111111111</v>
      </c>
      <c r="N105" s="7">
        <v>29.217</v>
      </c>
      <c r="O105" s="9">
        <v>1.2173611111111111</v>
      </c>
      <c r="P105" s="7">
        <v>10.0</v>
      </c>
      <c r="Q105" s="7">
        <v>2.0</v>
      </c>
      <c r="R105" s="7">
        <v>2.0</v>
      </c>
      <c r="S105" s="7">
        <v>2.0</v>
      </c>
      <c r="T105" s="7">
        <v>6.0</v>
      </c>
      <c r="U105" s="7">
        <v>0.0</v>
      </c>
      <c r="V105" s="7">
        <v>0.0</v>
      </c>
      <c r="W105" s="7">
        <v>4.0</v>
      </c>
      <c r="X105" s="7">
        <v>8.0</v>
      </c>
      <c r="Y105" s="7">
        <v>1.0</v>
      </c>
      <c r="Z105" s="7">
        <v>0.3333</v>
      </c>
      <c r="AB105" s="7">
        <v>0.625</v>
      </c>
      <c r="AC105" s="7">
        <v>0.625</v>
      </c>
      <c r="AD105" s="7">
        <v>0.0</v>
      </c>
      <c r="AE105" s="7">
        <v>0.25</v>
      </c>
      <c r="AF105" s="7">
        <v>0.75</v>
      </c>
      <c r="AG105" s="7">
        <v>3.0</v>
      </c>
      <c r="AH105" s="7">
        <v>3.0</v>
      </c>
      <c r="AI105" s="7">
        <v>1.0</v>
      </c>
      <c r="AJ105" s="7">
        <v>3.0</v>
      </c>
      <c r="AK105" s="7">
        <v>0.0</v>
      </c>
      <c r="AL105" s="7">
        <v>3.0</v>
      </c>
      <c r="AM105" s="7">
        <v>0.047</v>
      </c>
      <c r="AN105" s="7">
        <v>0.0</v>
      </c>
      <c r="AO105" s="7">
        <v>0.0</v>
      </c>
      <c r="AP105" s="7">
        <v>0.112</v>
      </c>
      <c r="AQ105" s="7">
        <v>0.1145</v>
      </c>
      <c r="AR105" s="7">
        <v>1.09</v>
      </c>
      <c r="AS105" s="7">
        <v>0.79</v>
      </c>
      <c r="AU105" s="7">
        <v>199.917</v>
      </c>
      <c r="AV105" s="7">
        <v>80.0</v>
      </c>
      <c r="AW105" s="7">
        <v>15.0</v>
      </c>
      <c r="AX105" s="7">
        <v>21.0</v>
      </c>
      <c r="AY105" s="7">
        <v>12.32</v>
      </c>
      <c r="AZ105" s="7">
        <v>3.7</v>
      </c>
      <c r="BA105" s="7">
        <v>3.7</v>
      </c>
      <c r="BB105" s="7">
        <v>1.23</v>
      </c>
      <c r="BC105" s="7">
        <v>0.0</v>
      </c>
      <c r="BD105" s="7">
        <v>0.0</v>
      </c>
      <c r="BE105" s="7">
        <v>3.7</v>
      </c>
      <c r="BF105" s="7" t="s">
        <v>84</v>
      </c>
      <c r="BG105" s="10"/>
      <c r="BH105" s="12"/>
      <c r="BI105" s="12"/>
      <c r="BJ105" s="12">
        <f t="shared" si="1"/>
        <v>0.1111111111</v>
      </c>
      <c r="BK105" s="12">
        <f t="shared" si="2"/>
        <v>0</v>
      </c>
      <c r="BL105" s="12">
        <f t="shared" si="3"/>
        <v>1.25</v>
      </c>
      <c r="BM105" s="13">
        <f t="shared" si="4"/>
        <v>0.4</v>
      </c>
      <c r="BN105" s="13">
        <f t="shared" si="5"/>
        <v>0.6</v>
      </c>
      <c r="BO105" s="12">
        <f t="shared" si="6"/>
        <v>0</v>
      </c>
      <c r="BP105" s="14">
        <f t="shared" si="7"/>
        <v>3</v>
      </c>
    </row>
    <row r="106">
      <c r="A106" s="7" t="s">
        <v>171</v>
      </c>
      <c r="B106" s="7" t="s">
        <v>172</v>
      </c>
      <c r="C106" s="8">
        <v>46187.0</v>
      </c>
      <c r="D106" s="7" t="s">
        <v>173</v>
      </c>
      <c r="E106" s="7" t="s">
        <v>149</v>
      </c>
      <c r="F106" s="7" t="s">
        <v>98</v>
      </c>
      <c r="G106" s="7">
        <v>98.0</v>
      </c>
      <c r="H106" s="7">
        <v>65.0</v>
      </c>
      <c r="I106" s="7">
        <v>5.0</v>
      </c>
      <c r="J106" s="7" t="s">
        <v>159</v>
      </c>
      <c r="K106" s="7" t="b">
        <v>1</v>
      </c>
      <c r="L106" s="2">
        <v>25.883</v>
      </c>
      <c r="M106" s="9">
        <v>1.0784722222222223</v>
      </c>
      <c r="N106" s="7">
        <v>25.883</v>
      </c>
      <c r="O106" s="9">
        <v>1.0784722222222223</v>
      </c>
      <c r="P106" s="7">
        <v>21.0</v>
      </c>
      <c r="Q106" s="7">
        <v>4.0</v>
      </c>
      <c r="R106" s="7">
        <v>6.0</v>
      </c>
      <c r="S106" s="7">
        <v>2.0</v>
      </c>
      <c r="T106" s="7">
        <v>4.0</v>
      </c>
      <c r="U106" s="7">
        <v>7.0</v>
      </c>
      <c r="V106" s="7">
        <v>7.0</v>
      </c>
      <c r="W106" s="7">
        <v>6.0</v>
      </c>
      <c r="X106" s="7">
        <v>10.0</v>
      </c>
      <c r="Y106" s="7">
        <v>0.6667</v>
      </c>
      <c r="Z106" s="7">
        <v>0.5</v>
      </c>
      <c r="AA106" s="7">
        <v>1.0</v>
      </c>
      <c r="AB106" s="7">
        <v>0.7</v>
      </c>
      <c r="AC106" s="7">
        <v>0.8028</v>
      </c>
      <c r="AD106" s="7">
        <v>2.0</v>
      </c>
      <c r="AE106" s="7">
        <v>0.6</v>
      </c>
      <c r="AF106" s="7">
        <v>0.4</v>
      </c>
      <c r="AG106" s="7">
        <v>0.0</v>
      </c>
      <c r="AH106" s="7">
        <v>2.0</v>
      </c>
      <c r="AI106" s="7">
        <v>5.0</v>
      </c>
      <c r="AJ106" s="7">
        <v>9.0</v>
      </c>
      <c r="AK106" s="7">
        <v>7.0</v>
      </c>
      <c r="AL106" s="7">
        <v>2.0</v>
      </c>
      <c r="AM106" s="7">
        <v>0.167</v>
      </c>
      <c r="AN106" s="7">
        <v>0.0</v>
      </c>
      <c r="AO106" s="7">
        <v>0.0</v>
      </c>
      <c r="AP106" s="7">
        <v>0.311</v>
      </c>
      <c r="AQ106" s="7">
        <v>0.2596</v>
      </c>
      <c r="AR106" s="7">
        <v>1.21</v>
      </c>
      <c r="AS106" s="7">
        <v>0.66</v>
      </c>
      <c r="AU106" s="7">
        <v>199.917</v>
      </c>
      <c r="AV106" s="7">
        <v>80.0</v>
      </c>
      <c r="AW106" s="7">
        <v>15.0</v>
      </c>
      <c r="AX106" s="7">
        <v>21.0</v>
      </c>
      <c r="AY106" s="7">
        <v>29.21</v>
      </c>
      <c r="AZ106" s="7">
        <v>12.52</v>
      </c>
      <c r="BA106" s="7">
        <v>0.0</v>
      </c>
      <c r="BB106" s="7">
        <v>6.95</v>
      </c>
      <c r="BC106" s="7">
        <v>0.0</v>
      </c>
      <c r="BD106" s="7">
        <v>0.0</v>
      </c>
      <c r="BE106" s="7">
        <v>2.78</v>
      </c>
      <c r="BF106" s="7" t="s">
        <v>76</v>
      </c>
      <c r="BG106" s="10"/>
      <c r="BH106" s="12"/>
      <c r="BI106" s="12"/>
      <c r="BJ106" s="12">
        <f t="shared" si="1"/>
        <v>0.2765486726</v>
      </c>
      <c r="BK106" s="12">
        <f t="shared" si="2"/>
        <v>0.7</v>
      </c>
      <c r="BL106" s="12">
        <f t="shared" si="3"/>
        <v>2.1</v>
      </c>
      <c r="BM106" s="13">
        <f t="shared" si="4"/>
        <v>0.380952381</v>
      </c>
      <c r="BN106" s="13">
        <f t="shared" si="5"/>
        <v>0.2857142857</v>
      </c>
      <c r="BO106" s="12">
        <f t="shared" si="6"/>
        <v>0.3333333333</v>
      </c>
      <c r="BP106" s="14">
        <f t="shared" si="7"/>
        <v>0</v>
      </c>
    </row>
    <row r="107">
      <c r="A107" s="7" t="s">
        <v>171</v>
      </c>
      <c r="B107" s="7" t="s">
        <v>172</v>
      </c>
      <c r="C107" s="8">
        <v>46187.0</v>
      </c>
      <c r="D107" s="7" t="s">
        <v>173</v>
      </c>
      <c r="E107" s="7" t="s">
        <v>149</v>
      </c>
      <c r="F107" s="7" t="s">
        <v>98</v>
      </c>
      <c r="G107" s="7">
        <v>98.0</v>
      </c>
      <c r="H107" s="7">
        <v>65.0</v>
      </c>
      <c r="I107" s="7">
        <v>7.0</v>
      </c>
      <c r="J107" s="7" t="s">
        <v>160</v>
      </c>
      <c r="K107" s="7" t="b">
        <v>0</v>
      </c>
      <c r="L107" s="2">
        <v>18.617</v>
      </c>
      <c r="M107" s="9">
        <v>0.7756944444444445</v>
      </c>
      <c r="N107" s="7">
        <v>18.617</v>
      </c>
      <c r="O107" s="15">
        <v>0.7756944444444445</v>
      </c>
      <c r="P107" s="7">
        <v>2.0</v>
      </c>
      <c r="Q107" s="7">
        <v>1.0</v>
      </c>
      <c r="R107" s="7">
        <v>1.0</v>
      </c>
      <c r="S107" s="7">
        <v>0.0</v>
      </c>
      <c r="T107" s="7">
        <v>2.0</v>
      </c>
      <c r="U107" s="7">
        <v>0.0</v>
      </c>
      <c r="V107" s="7">
        <v>0.0</v>
      </c>
      <c r="W107" s="7">
        <v>1.0</v>
      </c>
      <c r="X107" s="7">
        <v>3.0</v>
      </c>
      <c r="Y107" s="7">
        <v>1.0</v>
      </c>
      <c r="Z107" s="7">
        <v>0.0</v>
      </c>
      <c r="AB107" s="7">
        <v>0.3333</v>
      </c>
      <c r="AC107" s="7">
        <v>0.3333</v>
      </c>
      <c r="AD107" s="7">
        <v>0.0</v>
      </c>
      <c r="AE107" s="7">
        <v>0.333</v>
      </c>
      <c r="AF107" s="7">
        <v>0.667</v>
      </c>
      <c r="AG107" s="7">
        <v>1.0</v>
      </c>
      <c r="AH107" s="7">
        <v>0.0</v>
      </c>
      <c r="AI107" s="7">
        <v>1.0</v>
      </c>
      <c r="AJ107" s="7">
        <v>5.0</v>
      </c>
      <c r="AK107" s="7">
        <v>1.0</v>
      </c>
      <c r="AL107" s="7">
        <v>4.0</v>
      </c>
      <c r="AM107" s="7">
        <v>0.114</v>
      </c>
      <c r="AN107" s="7">
        <v>1.0</v>
      </c>
      <c r="AO107" s="7">
        <v>1.0</v>
      </c>
      <c r="AP107" s="7">
        <v>0.075</v>
      </c>
      <c r="AQ107" s="7">
        <v>0.0798</v>
      </c>
      <c r="AR107" s="7">
        <v>0.85</v>
      </c>
      <c r="AS107" s="7">
        <v>0.83</v>
      </c>
      <c r="AU107" s="7">
        <v>199.917</v>
      </c>
      <c r="AV107" s="7">
        <v>80.0</v>
      </c>
      <c r="AW107" s="7">
        <v>15.0</v>
      </c>
      <c r="AX107" s="7">
        <v>21.0</v>
      </c>
      <c r="AY107" s="7">
        <v>3.87</v>
      </c>
      <c r="AZ107" s="7">
        <v>9.67</v>
      </c>
      <c r="BA107" s="7">
        <v>1.93</v>
      </c>
      <c r="BB107" s="7">
        <v>1.93</v>
      </c>
      <c r="BC107" s="7">
        <v>1.93</v>
      </c>
      <c r="BD107" s="7">
        <v>1.93</v>
      </c>
      <c r="BE107" s="7">
        <v>0.0</v>
      </c>
      <c r="BF107" s="7" t="s">
        <v>79</v>
      </c>
      <c r="BG107" s="10"/>
      <c r="BH107" s="12"/>
      <c r="BI107" s="12"/>
      <c r="BJ107" s="12">
        <f t="shared" si="1"/>
        <v>0.25</v>
      </c>
      <c r="BK107" s="12">
        <f t="shared" si="2"/>
        <v>0</v>
      </c>
      <c r="BL107" s="12">
        <f t="shared" si="3"/>
        <v>0.6666666667</v>
      </c>
      <c r="BM107" s="13">
        <f t="shared" si="4"/>
        <v>1</v>
      </c>
      <c r="BN107" s="13">
        <f t="shared" si="5"/>
        <v>0</v>
      </c>
      <c r="BO107" s="12">
        <f t="shared" si="6"/>
        <v>0</v>
      </c>
      <c r="BP107" s="14">
        <f t="shared" si="7"/>
        <v>1</v>
      </c>
    </row>
    <row r="108">
      <c r="A108" s="7" t="s">
        <v>171</v>
      </c>
      <c r="B108" s="7" t="s">
        <v>172</v>
      </c>
      <c r="C108" s="8">
        <v>46187.0</v>
      </c>
      <c r="D108" s="7" t="s">
        <v>173</v>
      </c>
      <c r="E108" s="7" t="s">
        <v>149</v>
      </c>
      <c r="F108" s="7" t="s">
        <v>98</v>
      </c>
      <c r="G108" s="7">
        <v>98.0</v>
      </c>
      <c r="H108" s="7">
        <v>65.0</v>
      </c>
      <c r="I108" s="7">
        <v>8.0</v>
      </c>
      <c r="J108" s="7" t="s">
        <v>161</v>
      </c>
      <c r="K108" s="7" t="b">
        <v>1</v>
      </c>
      <c r="L108" s="2">
        <v>31.117</v>
      </c>
      <c r="M108" s="9">
        <v>1.2965277777777777</v>
      </c>
      <c r="N108" s="7">
        <v>31.117</v>
      </c>
      <c r="O108" s="9">
        <v>1.2965277777777777</v>
      </c>
      <c r="P108" s="7">
        <v>27.0</v>
      </c>
      <c r="Q108" s="7">
        <v>9.0</v>
      </c>
      <c r="R108" s="7">
        <v>13.0</v>
      </c>
      <c r="S108" s="7">
        <v>3.0</v>
      </c>
      <c r="T108" s="7">
        <v>6.0</v>
      </c>
      <c r="U108" s="7">
        <v>0.0</v>
      </c>
      <c r="V108" s="7">
        <v>3.0</v>
      </c>
      <c r="W108" s="7">
        <v>12.0</v>
      </c>
      <c r="X108" s="7">
        <v>19.0</v>
      </c>
      <c r="Y108" s="7">
        <v>0.6923</v>
      </c>
      <c r="Z108" s="7">
        <v>0.5</v>
      </c>
      <c r="AA108" s="7">
        <v>0.0</v>
      </c>
      <c r="AB108" s="7">
        <v>0.7105</v>
      </c>
      <c r="AC108" s="7">
        <v>0.6644</v>
      </c>
      <c r="AD108" s="7">
        <v>1.0</v>
      </c>
      <c r="AE108" s="7">
        <v>0.684</v>
      </c>
      <c r="AF108" s="7">
        <v>0.316</v>
      </c>
      <c r="AG108" s="7">
        <v>6.0</v>
      </c>
      <c r="AH108" s="7">
        <v>2.0</v>
      </c>
      <c r="AI108" s="7">
        <v>7.0</v>
      </c>
      <c r="AJ108" s="7">
        <v>10.0</v>
      </c>
      <c r="AK108" s="7">
        <v>3.0</v>
      </c>
      <c r="AL108" s="7">
        <v>7.0</v>
      </c>
      <c r="AM108" s="7">
        <v>0.147</v>
      </c>
      <c r="AN108" s="7">
        <v>2.0</v>
      </c>
      <c r="AO108" s="7">
        <v>2.0</v>
      </c>
      <c r="AP108" s="7">
        <v>0.348</v>
      </c>
      <c r="AQ108" s="7">
        <v>0.3263</v>
      </c>
      <c r="AR108" s="7">
        <v>1.16</v>
      </c>
      <c r="AS108" s="7">
        <v>0.68</v>
      </c>
      <c r="AU108" s="7">
        <v>199.917</v>
      </c>
      <c r="AV108" s="7">
        <v>80.0</v>
      </c>
      <c r="AW108" s="7">
        <v>15.0</v>
      </c>
      <c r="AX108" s="7">
        <v>21.0</v>
      </c>
      <c r="AY108" s="7">
        <v>31.24</v>
      </c>
      <c r="AZ108" s="7">
        <v>11.57</v>
      </c>
      <c r="BA108" s="7">
        <v>6.94</v>
      </c>
      <c r="BB108" s="7">
        <v>8.1</v>
      </c>
      <c r="BC108" s="7">
        <v>2.31</v>
      </c>
      <c r="BD108" s="7">
        <v>2.31</v>
      </c>
      <c r="BE108" s="7">
        <v>2.31</v>
      </c>
      <c r="BF108" s="7" t="s">
        <v>84</v>
      </c>
      <c r="BG108" s="10"/>
      <c r="BH108" s="12"/>
      <c r="BI108" s="12"/>
      <c r="BJ108" s="12">
        <f t="shared" si="1"/>
        <v>0.2562225476</v>
      </c>
      <c r="BK108" s="12">
        <f t="shared" si="2"/>
        <v>0.1578947368</v>
      </c>
      <c r="BL108" s="12">
        <f t="shared" si="3"/>
        <v>1.421052632</v>
      </c>
      <c r="BM108" s="13">
        <f t="shared" si="4"/>
        <v>0.6666666667</v>
      </c>
      <c r="BN108" s="13">
        <f t="shared" si="5"/>
        <v>0.3333333333</v>
      </c>
      <c r="BO108" s="12">
        <f t="shared" si="6"/>
        <v>0</v>
      </c>
      <c r="BP108" s="14">
        <f t="shared" si="7"/>
        <v>0.8571428571</v>
      </c>
    </row>
    <row r="109">
      <c r="A109" s="7" t="s">
        <v>171</v>
      </c>
      <c r="B109" s="7" t="s">
        <v>172</v>
      </c>
      <c r="C109" s="8">
        <v>46187.0</v>
      </c>
      <c r="D109" s="7" t="s">
        <v>173</v>
      </c>
      <c r="E109" s="7" t="s">
        <v>149</v>
      </c>
      <c r="F109" s="7" t="s">
        <v>98</v>
      </c>
      <c r="G109" s="7">
        <v>98.0</v>
      </c>
      <c r="H109" s="7">
        <v>65.0</v>
      </c>
      <c r="I109" s="7">
        <v>12.0</v>
      </c>
      <c r="J109" s="7" t="s">
        <v>162</v>
      </c>
      <c r="K109" s="7" t="b">
        <v>0</v>
      </c>
      <c r="L109" s="2">
        <v>23.5</v>
      </c>
      <c r="M109" s="9">
        <v>0.9791666666666666</v>
      </c>
      <c r="N109" s="7">
        <v>23.5</v>
      </c>
      <c r="O109" s="15">
        <v>0.9791666666666666</v>
      </c>
      <c r="P109" s="7">
        <v>13.0</v>
      </c>
      <c r="Q109" s="7">
        <v>2.0</v>
      </c>
      <c r="R109" s="7">
        <v>5.0</v>
      </c>
      <c r="S109" s="7">
        <v>2.0</v>
      </c>
      <c r="T109" s="7">
        <v>7.0</v>
      </c>
      <c r="U109" s="7">
        <v>3.0</v>
      </c>
      <c r="V109" s="7">
        <v>3.0</v>
      </c>
      <c r="W109" s="7">
        <v>4.0</v>
      </c>
      <c r="X109" s="7">
        <v>12.0</v>
      </c>
      <c r="Y109" s="7">
        <v>0.4</v>
      </c>
      <c r="Z109" s="7">
        <v>0.2857</v>
      </c>
      <c r="AA109" s="7">
        <v>1.0</v>
      </c>
      <c r="AB109" s="7">
        <v>0.4167</v>
      </c>
      <c r="AC109" s="7">
        <v>0.488</v>
      </c>
      <c r="AD109" s="7">
        <v>1.0</v>
      </c>
      <c r="AE109" s="7">
        <v>0.417</v>
      </c>
      <c r="AF109" s="7">
        <v>0.583</v>
      </c>
      <c r="AG109" s="7">
        <v>2.0</v>
      </c>
      <c r="AH109" s="7">
        <v>1.0</v>
      </c>
      <c r="AI109" s="7">
        <v>0.0</v>
      </c>
      <c r="AJ109" s="7">
        <v>10.0</v>
      </c>
      <c r="AK109" s="7">
        <v>4.0</v>
      </c>
      <c r="AL109" s="7">
        <v>6.0</v>
      </c>
      <c r="AM109" s="7">
        <v>0.182</v>
      </c>
      <c r="AN109" s="7">
        <v>0.0</v>
      </c>
      <c r="AO109" s="7">
        <v>0.0</v>
      </c>
      <c r="AP109" s="7">
        <v>0.229</v>
      </c>
      <c r="AQ109" s="7">
        <v>0.2106</v>
      </c>
      <c r="AR109" s="7">
        <v>1.15</v>
      </c>
      <c r="AS109" s="7">
        <v>0.61</v>
      </c>
      <c r="AU109" s="7">
        <v>199.917</v>
      </c>
      <c r="AV109" s="7">
        <v>80.0</v>
      </c>
      <c r="AW109" s="7">
        <v>15.0</v>
      </c>
      <c r="AX109" s="7">
        <v>21.0</v>
      </c>
      <c r="AY109" s="7">
        <v>19.91</v>
      </c>
      <c r="AZ109" s="7">
        <v>15.32</v>
      </c>
      <c r="BA109" s="7">
        <v>3.06</v>
      </c>
      <c r="BB109" s="7">
        <v>0.0</v>
      </c>
      <c r="BC109" s="7">
        <v>0.0</v>
      </c>
      <c r="BD109" s="7">
        <v>0.0</v>
      </c>
      <c r="BE109" s="7">
        <v>1.53</v>
      </c>
      <c r="BF109" s="7" t="s">
        <v>76</v>
      </c>
      <c r="BG109" s="10"/>
      <c r="BH109" s="12"/>
      <c r="BI109" s="12"/>
      <c r="BJ109" s="12">
        <f t="shared" si="1"/>
        <v>0</v>
      </c>
      <c r="BK109" s="12">
        <f t="shared" si="2"/>
        <v>0.25</v>
      </c>
      <c r="BL109" s="12">
        <f t="shared" si="3"/>
        <v>1.083333333</v>
      </c>
      <c r="BM109" s="13">
        <f t="shared" si="4"/>
        <v>0.3076923077</v>
      </c>
      <c r="BN109" s="13">
        <f t="shared" si="5"/>
        <v>0.4615384615</v>
      </c>
      <c r="BO109" s="12">
        <f t="shared" si="6"/>
        <v>0.2307692308</v>
      </c>
      <c r="BP109" s="14" t="str">
        <f t="shared" si="7"/>
        <v/>
      </c>
    </row>
    <row r="110">
      <c r="A110" s="7" t="s">
        <v>171</v>
      </c>
      <c r="B110" s="7" t="s">
        <v>172</v>
      </c>
      <c r="C110" s="8">
        <v>46187.0</v>
      </c>
      <c r="D110" s="7" t="s">
        <v>173</v>
      </c>
      <c r="E110" s="7" t="s">
        <v>149</v>
      </c>
      <c r="F110" s="7" t="s">
        <v>98</v>
      </c>
      <c r="G110" s="7">
        <v>98.0</v>
      </c>
      <c r="H110" s="7">
        <v>65.0</v>
      </c>
      <c r="I110" s="7">
        <v>23.0</v>
      </c>
      <c r="J110" s="7" t="s">
        <v>163</v>
      </c>
      <c r="K110" s="7" t="b">
        <v>0</v>
      </c>
      <c r="L110" s="2">
        <v>20.333</v>
      </c>
      <c r="M110" s="9">
        <v>0.8472222222222222</v>
      </c>
      <c r="N110" s="7">
        <v>20.333</v>
      </c>
      <c r="O110" s="15">
        <v>0.8472222222222222</v>
      </c>
      <c r="P110" s="7">
        <v>7.0</v>
      </c>
      <c r="Q110" s="7">
        <v>2.0</v>
      </c>
      <c r="R110" s="7">
        <v>5.0</v>
      </c>
      <c r="S110" s="7">
        <v>1.0</v>
      </c>
      <c r="T110" s="7">
        <v>4.0</v>
      </c>
      <c r="U110" s="7">
        <v>0.0</v>
      </c>
      <c r="V110" s="7">
        <v>0.0</v>
      </c>
      <c r="W110" s="7">
        <v>3.0</v>
      </c>
      <c r="X110" s="7">
        <v>9.0</v>
      </c>
      <c r="Y110" s="7">
        <v>0.4</v>
      </c>
      <c r="Z110" s="7">
        <v>0.25</v>
      </c>
      <c r="AB110" s="7">
        <v>0.3889</v>
      </c>
      <c r="AC110" s="7">
        <v>0.3889</v>
      </c>
      <c r="AD110" s="7">
        <v>0.0</v>
      </c>
      <c r="AE110" s="7">
        <v>0.556</v>
      </c>
      <c r="AF110" s="7">
        <v>0.444</v>
      </c>
      <c r="AG110" s="7">
        <v>2.0</v>
      </c>
      <c r="AH110" s="7">
        <v>0.0</v>
      </c>
      <c r="AI110" s="7">
        <v>1.0</v>
      </c>
      <c r="AJ110" s="7">
        <v>3.0</v>
      </c>
      <c r="AK110" s="7">
        <v>1.0</v>
      </c>
      <c r="AL110" s="7">
        <v>2.0</v>
      </c>
      <c r="AM110" s="7">
        <v>0.07</v>
      </c>
      <c r="AN110" s="7">
        <v>1.0</v>
      </c>
      <c r="AO110" s="7">
        <v>3.0</v>
      </c>
      <c r="AP110" s="7">
        <v>0.172</v>
      </c>
      <c r="AQ110" s="7">
        <v>0.1828</v>
      </c>
      <c r="AR110" s="7">
        <v>1.21</v>
      </c>
      <c r="AS110" s="7">
        <v>0.75</v>
      </c>
      <c r="AU110" s="7">
        <v>199.917</v>
      </c>
      <c r="AV110" s="7">
        <v>80.0</v>
      </c>
      <c r="AW110" s="7">
        <v>15.0</v>
      </c>
      <c r="AX110" s="7">
        <v>21.0</v>
      </c>
      <c r="AY110" s="7">
        <v>12.39</v>
      </c>
      <c r="AZ110" s="7">
        <v>5.31</v>
      </c>
      <c r="BA110" s="7">
        <v>3.54</v>
      </c>
      <c r="BB110" s="7">
        <v>1.77</v>
      </c>
      <c r="BC110" s="7">
        <v>5.31</v>
      </c>
      <c r="BD110" s="7">
        <v>1.77</v>
      </c>
      <c r="BE110" s="7">
        <v>0.0</v>
      </c>
      <c r="BF110" s="7" t="s">
        <v>84</v>
      </c>
      <c r="BG110" s="10"/>
      <c r="BH110" s="12"/>
      <c r="BI110" s="12"/>
      <c r="BJ110" s="12">
        <f t="shared" si="1"/>
        <v>0.1</v>
      </c>
      <c r="BK110" s="12">
        <f t="shared" si="2"/>
        <v>0</v>
      </c>
      <c r="BL110" s="12">
        <f t="shared" si="3"/>
        <v>0.7777777778</v>
      </c>
      <c r="BM110" s="13">
        <f t="shared" si="4"/>
        <v>0.5714285714</v>
      </c>
      <c r="BN110" s="13">
        <f t="shared" si="5"/>
        <v>0.4285714286</v>
      </c>
      <c r="BO110" s="12">
        <f t="shared" si="6"/>
        <v>0</v>
      </c>
      <c r="BP110" s="14">
        <f t="shared" si="7"/>
        <v>2</v>
      </c>
    </row>
    <row r="111">
      <c r="A111" s="7" t="s">
        <v>171</v>
      </c>
      <c r="B111" s="7" t="s">
        <v>172</v>
      </c>
      <c r="C111" s="8">
        <v>46187.0</v>
      </c>
      <c r="D111" s="7" t="s">
        <v>173</v>
      </c>
      <c r="E111" s="7" t="s">
        <v>149</v>
      </c>
      <c r="F111" s="7" t="s">
        <v>98</v>
      </c>
      <c r="G111" s="7">
        <v>98.0</v>
      </c>
      <c r="H111" s="7">
        <v>65.0</v>
      </c>
      <c r="I111" s="7">
        <v>24.0</v>
      </c>
      <c r="J111" s="7" t="s">
        <v>164</v>
      </c>
      <c r="K111" s="7" t="b">
        <v>1</v>
      </c>
      <c r="L111" s="2">
        <v>28.033</v>
      </c>
      <c r="M111" s="9">
        <v>1.1680555555555556</v>
      </c>
      <c r="N111" s="7">
        <v>28.033</v>
      </c>
      <c r="O111" s="9">
        <v>1.1680555555555556</v>
      </c>
      <c r="P111" s="7">
        <v>7.0</v>
      </c>
      <c r="Q111" s="7">
        <v>2.0</v>
      </c>
      <c r="R111" s="7">
        <v>9.0</v>
      </c>
      <c r="S111" s="7">
        <v>1.0</v>
      </c>
      <c r="T111" s="7">
        <v>2.0</v>
      </c>
      <c r="U111" s="7">
        <v>0.0</v>
      </c>
      <c r="V111" s="7">
        <v>0.0</v>
      </c>
      <c r="W111" s="7">
        <v>3.0</v>
      </c>
      <c r="X111" s="7">
        <v>11.0</v>
      </c>
      <c r="Y111" s="7">
        <v>0.2222</v>
      </c>
      <c r="Z111" s="7">
        <v>0.5</v>
      </c>
      <c r="AB111" s="7">
        <v>0.3182</v>
      </c>
      <c r="AC111" s="7">
        <v>0.3182</v>
      </c>
      <c r="AD111" s="7">
        <v>0.0</v>
      </c>
      <c r="AE111" s="7">
        <v>0.818</v>
      </c>
      <c r="AF111" s="7">
        <v>0.182</v>
      </c>
      <c r="AG111" s="7">
        <v>1.0</v>
      </c>
      <c r="AH111" s="7">
        <v>2.0</v>
      </c>
      <c r="AI111" s="7">
        <v>3.0</v>
      </c>
      <c r="AJ111" s="7">
        <v>5.0</v>
      </c>
      <c r="AK111" s="7">
        <v>1.0</v>
      </c>
      <c r="AL111" s="7">
        <v>4.0</v>
      </c>
      <c r="AM111" s="7">
        <v>0.078</v>
      </c>
      <c r="AN111" s="7">
        <v>1.0</v>
      </c>
      <c r="AO111" s="7">
        <v>3.0</v>
      </c>
      <c r="AP111" s="7">
        <v>0.197</v>
      </c>
      <c r="AQ111" s="7">
        <v>0.1856</v>
      </c>
      <c r="AR111" s="7">
        <v>1.0</v>
      </c>
      <c r="AS111" s="7">
        <v>0.82</v>
      </c>
      <c r="AU111" s="7">
        <v>199.917</v>
      </c>
      <c r="AV111" s="7">
        <v>80.0</v>
      </c>
      <c r="AW111" s="7">
        <v>15.0</v>
      </c>
      <c r="AX111" s="7">
        <v>21.0</v>
      </c>
      <c r="AY111" s="7">
        <v>8.99</v>
      </c>
      <c r="AZ111" s="7">
        <v>6.42</v>
      </c>
      <c r="BA111" s="7">
        <v>1.28</v>
      </c>
      <c r="BB111" s="7">
        <v>3.85</v>
      </c>
      <c r="BC111" s="7">
        <v>3.85</v>
      </c>
      <c r="BD111" s="7">
        <v>1.28</v>
      </c>
      <c r="BE111" s="7">
        <v>2.57</v>
      </c>
      <c r="BF111" s="7" t="s">
        <v>84</v>
      </c>
      <c r="BG111" s="10"/>
      <c r="BH111" s="12"/>
      <c r="BI111" s="12"/>
      <c r="BJ111" s="12">
        <f t="shared" si="1"/>
        <v>0.2142857143</v>
      </c>
      <c r="BK111" s="12">
        <f t="shared" si="2"/>
        <v>0</v>
      </c>
      <c r="BL111" s="12">
        <f t="shared" si="3"/>
        <v>0.6363636364</v>
      </c>
      <c r="BM111" s="13">
        <f t="shared" si="4"/>
        <v>0.5714285714</v>
      </c>
      <c r="BN111" s="13">
        <f t="shared" si="5"/>
        <v>0.4285714286</v>
      </c>
      <c r="BO111" s="12">
        <f t="shared" si="6"/>
        <v>0</v>
      </c>
      <c r="BP111" s="14">
        <f t="shared" si="7"/>
        <v>0.3333333333</v>
      </c>
    </row>
    <row r="112">
      <c r="A112" s="7" t="s">
        <v>171</v>
      </c>
      <c r="B112" s="7" t="s">
        <v>172</v>
      </c>
      <c r="C112" s="8">
        <v>46187.0</v>
      </c>
      <c r="D112" s="7" t="s">
        <v>173</v>
      </c>
      <c r="E112" s="7" t="s">
        <v>98</v>
      </c>
      <c r="F112" s="7" t="s">
        <v>149</v>
      </c>
      <c r="G112" s="7">
        <v>65.0</v>
      </c>
      <c r="H112" s="7">
        <v>98.0</v>
      </c>
      <c r="I112" s="7">
        <v>0.0</v>
      </c>
      <c r="J112" s="7" t="s">
        <v>100</v>
      </c>
      <c r="K112" s="7" t="b">
        <v>0</v>
      </c>
      <c r="L112" s="2">
        <v>23.9</v>
      </c>
      <c r="M112" s="9">
        <v>0.9958333333333333</v>
      </c>
      <c r="N112" s="7">
        <v>23.9</v>
      </c>
      <c r="O112" s="15">
        <v>0.9958333333333333</v>
      </c>
      <c r="P112" s="7">
        <v>7.0</v>
      </c>
      <c r="Q112" s="7">
        <v>2.0</v>
      </c>
      <c r="R112" s="7">
        <v>6.0</v>
      </c>
      <c r="S112" s="7">
        <v>1.0</v>
      </c>
      <c r="T112" s="7">
        <v>8.0</v>
      </c>
      <c r="U112" s="7">
        <v>0.0</v>
      </c>
      <c r="V112" s="7">
        <v>0.0</v>
      </c>
      <c r="W112" s="7">
        <v>3.0</v>
      </c>
      <c r="X112" s="7">
        <v>14.0</v>
      </c>
      <c r="Y112" s="7">
        <v>0.3333</v>
      </c>
      <c r="Z112" s="7">
        <v>0.125</v>
      </c>
      <c r="AB112" s="7">
        <v>0.25</v>
      </c>
      <c r="AC112" s="7">
        <v>0.25</v>
      </c>
      <c r="AD112" s="7">
        <v>0.0</v>
      </c>
      <c r="AE112" s="7">
        <v>0.429</v>
      </c>
      <c r="AF112" s="7">
        <v>0.571</v>
      </c>
      <c r="AG112" s="7">
        <v>2.0</v>
      </c>
      <c r="AH112" s="7">
        <v>1.0</v>
      </c>
      <c r="AI112" s="7">
        <v>4.0</v>
      </c>
      <c r="AJ112" s="7">
        <v>0.0</v>
      </c>
      <c r="AK112" s="7">
        <v>0.0</v>
      </c>
      <c r="AL112" s="7">
        <v>0.0</v>
      </c>
      <c r="AM112" s="7">
        <v>0.0</v>
      </c>
      <c r="AN112" s="7">
        <v>0.0</v>
      </c>
      <c r="AO112" s="7">
        <v>1.0</v>
      </c>
      <c r="AP112" s="7">
        <v>0.29</v>
      </c>
      <c r="AQ112" s="7">
        <v>0.3157</v>
      </c>
      <c r="AR112" s="7">
        <v>0.8</v>
      </c>
      <c r="AS112" s="7">
        <v>1.04</v>
      </c>
      <c r="AU112" s="7">
        <v>199.933</v>
      </c>
      <c r="AV112" s="7">
        <v>71.0</v>
      </c>
      <c r="AW112" s="7">
        <v>10.0</v>
      </c>
      <c r="AX112" s="7">
        <v>20.0</v>
      </c>
      <c r="AY112" s="7">
        <v>10.54</v>
      </c>
      <c r="AZ112" s="7">
        <v>0.0</v>
      </c>
      <c r="BA112" s="7">
        <v>3.01</v>
      </c>
      <c r="BB112" s="7">
        <v>6.03</v>
      </c>
      <c r="BC112" s="7">
        <v>1.51</v>
      </c>
      <c r="BD112" s="7">
        <v>0.0</v>
      </c>
      <c r="BE112" s="7">
        <v>1.51</v>
      </c>
      <c r="BF112" s="7" t="s">
        <v>84</v>
      </c>
      <c r="BG112" s="10"/>
      <c r="BH112" s="12"/>
      <c r="BI112" s="12"/>
      <c r="BJ112" s="12">
        <f t="shared" si="1"/>
        <v>0.2222222222</v>
      </c>
      <c r="BK112" s="12">
        <f t="shared" si="2"/>
        <v>0</v>
      </c>
      <c r="BL112" s="12">
        <f t="shared" si="3"/>
        <v>0.5</v>
      </c>
      <c r="BM112" s="13">
        <f t="shared" si="4"/>
        <v>0.5714285714</v>
      </c>
      <c r="BN112" s="13">
        <f t="shared" si="5"/>
        <v>0.4285714286</v>
      </c>
      <c r="BO112" s="12">
        <f t="shared" si="6"/>
        <v>0</v>
      </c>
      <c r="BP112" s="14">
        <f t="shared" si="7"/>
        <v>0.5</v>
      </c>
    </row>
    <row r="113">
      <c r="A113" s="7" t="s">
        <v>171</v>
      </c>
      <c r="B113" s="7" t="s">
        <v>172</v>
      </c>
      <c r="C113" s="8">
        <v>46187.0</v>
      </c>
      <c r="D113" s="7" t="s">
        <v>173</v>
      </c>
      <c r="E113" s="7" t="s">
        <v>98</v>
      </c>
      <c r="F113" s="7" t="s">
        <v>149</v>
      </c>
      <c r="G113" s="7">
        <v>65.0</v>
      </c>
      <c r="H113" s="7">
        <v>98.0</v>
      </c>
      <c r="I113" s="7">
        <v>2.0</v>
      </c>
      <c r="J113" s="7" t="s">
        <v>101</v>
      </c>
      <c r="K113" s="7" t="b">
        <v>1</v>
      </c>
      <c r="L113" s="2">
        <v>22.683</v>
      </c>
      <c r="M113" s="9">
        <v>0.9451388888888889</v>
      </c>
      <c r="N113" s="7">
        <v>22.683</v>
      </c>
      <c r="O113" s="15">
        <v>0.9451388888888889</v>
      </c>
      <c r="P113" s="7">
        <v>8.0</v>
      </c>
      <c r="Q113" s="7">
        <v>3.0</v>
      </c>
      <c r="R113" s="7">
        <v>7.0</v>
      </c>
      <c r="S113" s="7">
        <v>0.0</v>
      </c>
      <c r="T113" s="7">
        <v>3.0</v>
      </c>
      <c r="U113" s="7">
        <v>2.0</v>
      </c>
      <c r="V113" s="7">
        <v>2.0</v>
      </c>
      <c r="W113" s="7">
        <v>3.0</v>
      </c>
      <c r="X113" s="7">
        <v>10.0</v>
      </c>
      <c r="Y113" s="7">
        <v>0.4286</v>
      </c>
      <c r="Z113" s="7">
        <v>0.0</v>
      </c>
      <c r="AA113" s="7">
        <v>1.0</v>
      </c>
      <c r="AB113" s="7">
        <v>0.3</v>
      </c>
      <c r="AC113" s="7">
        <v>0.3676</v>
      </c>
      <c r="AD113" s="7">
        <v>1.0</v>
      </c>
      <c r="AE113" s="7">
        <v>0.7</v>
      </c>
      <c r="AF113" s="7">
        <v>0.3</v>
      </c>
      <c r="AG113" s="7">
        <v>1.0</v>
      </c>
      <c r="AH113" s="7">
        <v>1.0</v>
      </c>
      <c r="AI113" s="7">
        <v>4.0</v>
      </c>
      <c r="AJ113" s="7">
        <v>4.0</v>
      </c>
      <c r="AK113" s="7">
        <v>1.0</v>
      </c>
      <c r="AL113" s="7">
        <v>3.0</v>
      </c>
      <c r="AM113" s="7">
        <v>0.087</v>
      </c>
      <c r="AN113" s="7">
        <v>0.0</v>
      </c>
      <c r="AO113" s="7">
        <v>2.0</v>
      </c>
      <c r="AP113" s="7">
        <v>0.32</v>
      </c>
      <c r="AQ113" s="7">
        <v>0.275</v>
      </c>
      <c r="AR113" s="7">
        <v>0.65</v>
      </c>
      <c r="AS113" s="7">
        <v>1.19</v>
      </c>
      <c r="AU113" s="7">
        <v>199.933</v>
      </c>
      <c r="AV113" s="7">
        <v>71.0</v>
      </c>
      <c r="AW113" s="7">
        <v>10.0</v>
      </c>
      <c r="AX113" s="7">
        <v>20.0</v>
      </c>
      <c r="AY113" s="7">
        <v>12.7</v>
      </c>
      <c r="AZ113" s="7">
        <v>6.35</v>
      </c>
      <c r="BA113" s="7">
        <v>1.59</v>
      </c>
      <c r="BB113" s="7">
        <v>6.35</v>
      </c>
      <c r="BC113" s="7">
        <v>3.17</v>
      </c>
      <c r="BD113" s="7">
        <v>0.0</v>
      </c>
      <c r="BE113" s="7">
        <v>1.59</v>
      </c>
      <c r="BF113" s="7" t="s">
        <v>86</v>
      </c>
      <c r="BG113" s="10"/>
      <c r="BH113" s="12"/>
      <c r="BI113" s="12"/>
      <c r="BJ113" s="12">
        <f t="shared" si="1"/>
        <v>0.2688172043</v>
      </c>
      <c r="BK113" s="12">
        <f t="shared" si="2"/>
        <v>0.2</v>
      </c>
      <c r="BL113" s="12">
        <f t="shared" si="3"/>
        <v>0.8</v>
      </c>
      <c r="BM113" s="13">
        <f t="shared" si="4"/>
        <v>0.75</v>
      </c>
      <c r="BN113" s="13">
        <f t="shared" si="5"/>
        <v>0</v>
      </c>
      <c r="BO113" s="12">
        <f t="shared" si="6"/>
        <v>0.25</v>
      </c>
      <c r="BP113" s="14">
        <f t="shared" si="7"/>
        <v>0.25</v>
      </c>
    </row>
    <row r="114">
      <c r="A114" s="7" t="s">
        <v>171</v>
      </c>
      <c r="B114" s="7" t="s">
        <v>172</v>
      </c>
      <c r="C114" s="8">
        <v>46187.0</v>
      </c>
      <c r="D114" s="7" t="s">
        <v>173</v>
      </c>
      <c r="E114" s="7" t="s">
        <v>98</v>
      </c>
      <c r="F114" s="7" t="s">
        <v>149</v>
      </c>
      <c r="G114" s="7">
        <v>65.0</v>
      </c>
      <c r="H114" s="7">
        <v>98.0</v>
      </c>
      <c r="I114" s="7">
        <v>5.0</v>
      </c>
      <c r="J114" s="7" t="s">
        <v>104</v>
      </c>
      <c r="K114" s="7" t="b">
        <v>1</v>
      </c>
      <c r="L114" s="2">
        <v>21.383</v>
      </c>
      <c r="M114" s="9">
        <v>0.8909722222222223</v>
      </c>
      <c r="N114" s="7">
        <v>21.383</v>
      </c>
      <c r="O114" s="15">
        <v>0.8909722222222223</v>
      </c>
      <c r="P114" s="7">
        <v>9.0</v>
      </c>
      <c r="Q114" s="7">
        <v>2.0</v>
      </c>
      <c r="R114" s="7">
        <v>9.0</v>
      </c>
      <c r="S114" s="7">
        <v>1.0</v>
      </c>
      <c r="T114" s="7">
        <v>2.0</v>
      </c>
      <c r="U114" s="7">
        <v>2.0</v>
      </c>
      <c r="V114" s="7">
        <v>4.0</v>
      </c>
      <c r="W114" s="7">
        <v>3.0</v>
      </c>
      <c r="X114" s="7">
        <v>11.0</v>
      </c>
      <c r="Y114" s="7">
        <v>0.2222</v>
      </c>
      <c r="Z114" s="7">
        <v>0.5</v>
      </c>
      <c r="AA114" s="7">
        <v>0.5</v>
      </c>
      <c r="AB114" s="7">
        <v>0.3182</v>
      </c>
      <c r="AC114" s="7">
        <v>0.3527</v>
      </c>
      <c r="AD114" s="7">
        <v>1.0</v>
      </c>
      <c r="AE114" s="7">
        <v>0.818</v>
      </c>
      <c r="AF114" s="7">
        <v>0.182</v>
      </c>
      <c r="AG114" s="7">
        <v>2.0</v>
      </c>
      <c r="AH114" s="7">
        <v>3.0</v>
      </c>
      <c r="AI114" s="7">
        <v>1.0</v>
      </c>
      <c r="AJ114" s="7">
        <v>2.0</v>
      </c>
      <c r="AK114" s="7">
        <v>0.0</v>
      </c>
      <c r="AL114" s="7">
        <v>2.0</v>
      </c>
      <c r="AM114" s="7">
        <v>0.045</v>
      </c>
      <c r="AN114" s="7">
        <v>0.0</v>
      </c>
      <c r="AO114" s="7">
        <v>1.0</v>
      </c>
      <c r="AP114" s="7">
        <v>0.34</v>
      </c>
      <c r="AQ114" s="7">
        <v>0.2697</v>
      </c>
      <c r="AR114" s="7">
        <v>0.77</v>
      </c>
      <c r="AS114" s="7">
        <v>1.12</v>
      </c>
      <c r="AU114" s="7">
        <v>199.933</v>
      </c>
      <c r="AV114" s="7">
        <v>71.0</v>
      </c>
      <c r="AW114" s="7">
        <v>10.0</v>
      </c>
      <c r="AX114" s="7">
        <v>20.0</v>
      </c>
      <c r="AY114" s="7">
        <v>15.15</v>
      </c>
      <c r="AZ114" s="7">
        <v>3.37</v>
      </c>
      <c r="BA114" s="7">
        <v>3.37</v>
      </c>
      <c r="BB114" s="7">
        <v>1.68</v>
      </c>
      <c r="BC114" s="7">
        <v>1.68</v>
      </c>
      <c r="BD114" s="7">
        <v>0.0</v>
      </c>
      <c r="BE114" s="7">
        <v>5.05</v>
      </c>
      <c r="BF114" s="7" t="s">
        <v>76</v>
      </c>
      <c r="BG114" s="10"/>
      <c r="BH114" s="12"/>
      <c r="BI114" s="12"/>
      <c r="BJ114" s="12">
        <f t="shared" si="1"/>
        <v>0.0726744186</v>
      </c>
      <c r="BK114" s="12">
        <f t="shared" si="2"/>
        <v>0.3636363636</v>
      </c>
      <c r="BL114" s="12">
        <f t="shared" si="3"/>
        <v>0.8181818182</v>
      </c>
      <c r="BM114" s="13">
        <f t="shared" si="4"/>
        <v>0.4444444444</v>
      </c>
      <c r="BN114" s="13">
        <f t="shared" si="5"/>
        <v>0.3333333333</v>
      </c>
      <c r="BO114" s="12">
        <f t="shared" si="6"/>
        <v>0.2222222222</v>
      </c>
      <c r="BP114" s="14">
        <f t="shared" si="7"/>
        <v>2</v>
      </c>
    </row>
    <row r="115">
      <c r="A115" s="7" t="s">
        <v>171</v>
      </c>
      <c r="B115" s="7" t="s">
        <v>172</v>
      </c>
      <c r="C115" s="8">
        <v>46187.0</v>
      </c>
      <c r="D115" s="7" t="s">
        <v>173</v>
      </c>
      <c r="E115" s="7" t="s">
        <v>98</v>
      </c>
      <c r="F115" s="7" t="s">
        <v>149</v>
      </c>
      <c r="G115" s="7">
        <v>65.0</v>
      </c>
      <c r="H115" s="7">
        <v>98.0</v>
      </c>
      <c r="I115" s="7">
        <v>7.0</v>
      </c>
      <c r="J115" s="7" t="s">
        <v>105</v>
      </c>
      <c r="K115" s="7" t="b">
        <v>0</v>
      </c>
      <c r="L115" s="2">
        <v>8.183</v>
      </c>
      <c r="M115" s="9">
        <v>0.34097222222222223</v>
      </c>
      <c r="N115" s="7">
        <v>8.183</v>
      </c>
      <c r="O115" s="15">
        <v>0.34097222222222223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>
        <v>0.0</v>
      </c>
      <c r="AD115" s="7">
        <v>0.0</v>
      </c>
      <c r="AG115" s="7">
        <v>0.0</v>
      </c>
      <c r="AH115" s="7">
        <v>2.0</v>
      </c>
      <c r="AI115" s="7">
        <v>0.0</v>
      </c>
      <c r="AJ115" s="7">
        <v>1.0</v>
      </c>
      <c r="AK115" s="7">
        <v>0.0</v>
      </c>
      <c r="AL115" s="7">
        <v>1.0</v>
      </c>
      <c r="AM115" s="7">
        <v>0.059</v>
      </c>
      <c r="AN115" s="7">
        <v>0.0</v>
      </c>
      <c r="AO115" s="7">
        <v>1.0</v>
      </c>
      <c r="AP115" s="7">
        <v>0.045</v>
      </c>
      <c r="AQ115" s="7">
        <v>0.0</v>
      </c>
      <c r="AR115" s="7">
        <v>0.53</v>
      </c>
      <c r="AS115" s="7">
        <v>1.45</v>
      </c>
      <c r="AU115" s="7">
        <v>199.933</v>
      </c>
      <c r="AV115" s="7">
        <v>71.0</v>
      </c>
      <c r="AW115" s="7">
        <v>10.0</v>
      </c>
      <c r="AX115" s="7">
        <v>20.0</v>
      </c>
      <c r="AY115" s="7">
        <v>0.0</v>
      </c>
      <c r="AZ115" s="7">
        <v>4.4</v>
      </c>
      <c r="BA115" s="7">
        <v>0.0</v>
      </c>
      <c r="BB115" s="7">
        <v>0.0</v>
      </c>
      <c r="BC115" s="7">
        <v>4.4</v>
      </c>
      <c r="BD115" s="7">
        <v>0.0</v>
      </c>
      <c r="BE115" s="7">
        <v>8.8</v>
      </c>
      <c r="BG115" s="10"/>
      <c r="BH115" s="12"/>
      <c r="BI115" s="12"/>
      <c r="BJ115" s="12" t="str">
        <f t="shared" si="1"/>
        <v/>
      </c>
      <c r="BK115" s="12" t="str">
        <f t="shared" si="2"/>
        <v/>
      </c>
      <c r="BL115" s="12" t="str">
        <f t="shared" si="3"/>
        <v/>
      </c>
      <c r="BM115" s="13" t="str">
        <f t="shared" si="4"/>
        <v/>
      </c>
      <c r="BN115" s="13" t="str">
        <f t="shared" si="5"/>
        <v/>
      </c>
      <c r="BO115" s="12" t="str">
        <f t="shared" si="6"/>
        <v/>
      </c>
      <c r="BP115" s="14" t="str">
        <f t="shared" si="7"/>
        <v/>
      </c>
    </row>
    <row r="116">
      <c r="A116" s="7" t="s">
        <v>171</v>
      </c>
      <c r="B116" s="7" t="s">
        <v>172</v>
      </c>
      <c r="C116" s="8">
        <v>46187.0</v>
      </c>
      <c r="D116" s="7" t="s">
        <v>173</v>
      </c>
      <c r="E116" s="7" t="s">
        <v>98</v>
      </c>
      <c r="F116" s="7" t="s">
        <v>149</v>
      </c>
      <c r="G116" s="7">
        <v>65.0</v>
      </c>
      <c r="H116" s="7">
        <v>98.0</v>
      </c>
      <c r="I116" s="7">
        <v>8.0</v>
      </c>
      <c r="J116" s="7" t="s">
        <v>106</v>
      </c>
      <c r="K116" s="7" t="b">
        <v>0</v>
      </c>
      <c r="L116" s="2">
        <v>22.033</v>
      </c>
      <c r="M116" s="9">
        <v>0.9180555555555555</v>
      </c>
      <c r="N116" s="7">
        <v>22.033</v>
      </c>
      <c r="O116" s="15">
        <v>0.9180555555555555</v>
      </c>
      <c r="P116" s="7">
        <v>9.0</v>
      </c>
      <c r="Q116" s="7">
        <v>0.0</v>
      </c>
      <c r="R116" s="7">
        <v>1.0</v>
      </c>
      <c r="S116" s="7">
        <v>3.0</v>
      </c>
      <c r="T116" s="7">
        <v>9.0</v>
      </c>
      <c r="U116" s="7">
        <v>0.0</v>
      </c>
      <c r="V116" s="7">
        <v>0.0</v>
      </c>
      <c r="W116" s="7">
        <v>3.0</v>
      </c>
      <c r="X116" s="7">
        <v>10.0</v>
      </c>
      <c r="Y116" s="7">
        <v>0.0</v>
      </c>
      <c r="Z116" s="7">
        <v>0.3333</v>
      </c>
      <c r="AB116" s="7">
        <v>0.45</v>
      </c>
      <c r="AC116" s="7">
        <v>0.45</v>
      </c>
      <c r="AD116" s="7">
        <v>0.0</v>
      </c>
      <c r="AE116" s="7">
        <v>0.1</v>
      </c>
      <c r="AF116" s="7">
        <v>0.9</v>
      </c>
      <c r="AG116" s="7">
        <v>3.0</v>
      </c>
      <c r="AH116" s="7">
        <v>1.0</v>
      </c>
      <c r="AI116" s="7">
        <v>0.0</v>
      </c>
      <c r="AJ116" s="7">
        <v>4.0</v>
      </c>
      <c r="AK116" s="7">
        <v>0.0</v>
      </c>
      <c r="AL116" s="7">
        <v>4.0</v>
      </c>
      <c r="AM116" s="7">
        <v>0.082</v>
      </c>
      <c r="AN116" s="7">
        <v>0.0</v>
      </c>
      <c r="AO116" s="7">
        <v>2.0</v>
      </c>
      <c r="AP116" s="7">
        <v>0.175</v>
      </c>
      <c r="AQ116" s="7">
        <v>0.1902</v>
      </c>
      <c r="AR116" s="7">
        <v>0.82</v>
      </c>
      <c r="AS116" s="7">
        <v>1.16</v>
      </c>
      <c r="AU116" s="7">
        <v>199.933</v>
      </c>
      <c r="AV116" s="7">
        <v>71.0</v>
      </c>
      <c r="AW116" s="7">
        <v>10.0</v>
      </c>
      <c r="AX116" s="7">
        <v>20.0</v>
      </c>
      <c r="AY116" s="7">
        <v>14.71</v>
      </c>
      <c r="AZ116" s="7">
        <v>6.54</v>
      </c>
      <c r="BA116" s="7">
        <v>4.9</v>
      </c>
      <c r="BB116" s="7">
        <v>0.0</v>
      </c>
      <c r="BC116" s="7">
        <v>3.27</v>
      </c>
      <c r="BD116" s="7">
        <v>0.0</v>
      </c>
      <c r="BE116" s="7">
        <v>1.63</v>
      </c>
      <c r="BF116" s="7" t="s">
        <v>103</v>
      </c>
      <c r="BG116" s="10"/>
      <c r="BH116" s="12"/>
      <c r="BI116" s="12"/>
      <c r="BJ116" s="12">
        <f t="shared" si="1"/>
        <v>0</v>
      </c>
      <c r="BK116" s="12">
        <f t="shared" si="2"/>
        <v>0</v>
      </c>
      <c r="BL116" s="12">
        <f t="shared" si="3"/>
        <v>0.9</v>
      </c>
      <c r="BM116" s="13">
        <f t="shared" si="4"/>
        <v>0</v>
      </c>
      <c r="BN116" s="13">
        <f t="shared" si="5"/>
        <v>1</v>
      </c>
      <c r="BO116" s="12">
        <f t="shared" si="6"/>
        <v>0</v>
      </c>
      <c r="BP116" s="14" t="str">
        <f t="shared" si="7"/>
        <v/>
      </c>
    </row>
    <row r="117">
      <c r="A117" s="7" t="s">
        <v>171</v>
      </c>
      <c r="B117" s="7" t="s">
        <v>172</v>
      </c>
      <c r="C117" s="8">
        <v>46187.0</v>
      </c>
      <c r="D117" s="7" t="s">
        <v>173</v>
      </c>
      <c r="E117" s="7" t="s">
        <v>98</v>
      </c>
      <c r="F117" s="7" t="s">
        <v>149</v>
      </c>
      <c r="G117" s="7">
        <v>65.0</v>
      </c>
      <c r="H117" s="7">
        <v>98.0</v>
      </c>
      <c r="I117" s="7">
        <v>10.0</v>
      </c>
      <c r="J117" s="7" t="s">
        <v>107</v>
      </c>
      <c r="K117" s="7" t="b">
        <v>1</v>
      </c>
      <c r="L117" s="2">
        <v>22.5</v>
      </c>
      <c r="M117" s="9">
        <v>0.9375</v>
      </c>
      <c r="N117" s="7">
        <v>22.5</v>
      </c>
      <c r="O117" s="15">
        <v>0.9375</v>
      </c>
      <c r="P117" s="7">
        <v>5.0</v>
      </c>
      <c r="Q117" s="7">
        <v>1.0</v>
      </c>
      <c r="R117" s="7">
        <v>1.0</v>
      </c>
      <c r="S117" s="7">
        <v>1.0</v>
      </c>
      <c r="T117" s="7">
        <v>2.0</v>
      </c>
      <c r="U117" s="7">
        <v>0.0</v>
      </c>
      <c r="V117" s="7">
        <v>0.0</v>
      </c>
      <c r="W117" s="7">
        <v>2.0</v>
      </c>
      <c r="X117" s="7">
        <v>3.0</v>
      </c>
      <c r="Y117" s="7">
        <v>1.0</v>
      </c>
      <c r="Z117" s="7">
        <v>0.5</v>
      </c>
      <c r="AB117" s="7">
        <v>0.8333</v>
      </c>
      <c r="AC117" s="7">
        <v>0.8333</v>
      </c>
      <c r="AD117" s="7">
        <v>0.0</v>
      </c>
      <c r="AE117" s="7">
        <v>0.333</v>
      </c>
      <c r="AF117" s="7">
        <v>0.667</v>
      </c>
      <c r="AG117" s="7">
        <v>1.0</v>
      </c>
      <c r="AH117" s="7">
        <v>1.0</v>
      </c>
      <c r="AI117" s="7">
        <v>0.0</v>
      </c>
      <c r="AJ117" s="7">
        <v>2.0</v>
      </c>
      <c r="AK117" s="7">
        <v>1.0</v>
      </c>
      <c r="AL117" s="7">
        <v>1.0</v>
      </c>
      <c r="AM117" s="7">
        <v>0.041</v>
      </c>
      <c r="AN117" s="7">
        <v>0.0</v>
      </c>
      <c r="AO117" s="7">
        <v>2.0</v>
      </c>
      <c r="AP117" s="7">
        <v>0.058</v>
      </c>
      <c r="AQ117" s="7">
        <v>0.0559</v>
      </c>
      <c r="AR117" s="7">
        <v>0.83</v>
      </c>
      <c r="AS117" s="7">
        <v>1.07</v>
      </c>
      <c r="AU117" s="7">
        <v>199.933</v>
      </c>
      <c r="AV117" s="7">
        <v>71.0</v>
      </c>
      <c r="AW117" s="7">
        <v>10.0</v>
      </c>
      <c r="AX117" s="7">
        <v>20.0</v>
      </c>
      <c r="AY117" s="7">
        <v>8.0</v>
      </c>
      <c r="AZ117" s="7">
        <v>3.2</v>
      </c>
      <c r="BA117" s="7">
        <v>1.6</v>
      </c>
      <c r="BB117" s="7">
        <v>0.0</v>
      </c>
      <c r="BC117" s="7">
        <v>3.2</v>
      </c>
      <c r="BD117" s="7">
        <v>0.0</v>
      </c>
      <c r="BE117" s="7">
        <v>1.6</v>
      </c>
      <c r="BF117" s="7" t="s">
        <v>84</v>
      </c>
      <c r="BG117" s="10"/>
      <c r="BH117" s="12"/>
      <c r="BI117" s="12"/>
      <c r="BJ117" s="12">
        <f t="shared" si="1"/>
        <v>0</v>
      </c>
      <c r="BK117" s="12">
        <f t="shared" si="2"/>
        <v>0</v>
      </c>
      <c r="BL117" s="12">
        <f t="shared" si="3"/>
        <v>1.666666667</v>
      </c>
      <c r="BM117" s="13">
        <f t="shared" si="4"/>
        <v>0.4</v>
      </c>
      <c r="BN117" s="13">
        <f t="shared" si="5"/>
        <v>0.6</v>
      </c>
      <c r="BO117" s="12">
        <f t="shared" si="6"/>
        <v>0</v>
      </c>
      <c r="BP117" s="14" t="str">
        <f t="shared" si="7"/>
        <v/>
      </c>
    </row>
    <row r="118">
      <c r="A118" s="7" t="s">
        <v>171</v>
      </c>
      <c r="B118" s="7" t="s">
        <v>172</v>
      </c>
      <c r="C118" s="8">
        <v>46187.0</v>
      </c>
      <c r="D118" s="7" t="s">
        <v>173</v>
      </c>
      <c r="E118" s="7" t="s">
        <v>98</v>
      </c>
      <c r="F118" s="7" t="s">
        <v>149</v>
      </c>
      <c r="G118" s="7">
        <v>65.0</v>
      </c>
      <c r="H118" s="7">
        <v>98.0</v>
      </c>
      <c r="I118" s="7">
        <v>12.0</v>
      </c>
      <c r="J118" s="7" t="s">
        <v>109</v>
      </c>
      <c r="K118" s="7" t="b">
        <v>0</v>
      </c>
      <c r="L118" s="2">
        <v>17.1</v>
      </c>
      <c r="M118" s="9">
        <v>0.7125</v>
      </c>
      <c r="N118" s="7">
        <v>17.1</v>
      </c>
      <c r="O118" s="15">
        <v>0.7125</v>
      </c>
      <c r="P118" s="7">
        <v>2.0</v>
      </c>
      <c r="Q118" s="7">
        <v>1.0</v>
      </c>
      <c r="R118" s="7">
        <v>4.0</v>
      </c>
      <c r="S118" s="7">
        <v>0.0</v>
      </c>
      <c r="T118" s="7">
        <v>0.0</v>
      </c>
      <c r="U118" s="7">
        <v>0.0</v>
      </c>
      <c r="V118" s="7">
        <v>0.0</v>
      </c>
      <c r="W118" s="7">
        <v>1.0</v>
      </c>
      <c r="X118" s="7">
        <v>4.0</v>
      </c>
      <c r="Y118" s="7">
        <v>0.25</v>
      </c>
      <c r="AB118" s="7">
        <v>0.25</v>
      </c>
      <c r="AC118" s="7">
        <v>0.25</v>
      </c>
      <c r="AD118" s="7">
        <v>0.0</v>
      </c>
      <c r="AE118" s="7">
        <v>1.0</v>
      </c>
      <c r="AF118" s="7">
        <v>0.0</v>
      </c>
      <c r="AG118" s="7">
        <v>1.0</v>
      </c>
      <c r="AH118" s="7">
        <v>1.0</v>
      </c>
      <c r="AI118" s="7">
        <v>2.0</v>
      </c>
      <c r="AJ118" s="7">
        <v>4.0</v>
      </c>
      <c r="AK118" s="7">
        <v>3.0</v>
      </c>
      <c r="AL118" s="7">
        <v>1.0</v>
      </c>
      <c r="AM118" s="7">
        <v>0.121</v>
      </c>
      <c r="AN118" s="7">
        <v>1.0</v>
      </c>
      <c r="AO118" s="7">
        <v>0.0</v>
      </c>
      <c r="AP118" s="7">
        <v>0.15</v>
      </c>
      <c r="AQ118" s="7">
        <v>0.1471</v>
      </c>
      <c r="AR118" s="7">
        <v>0.62</v>
      </c>
      <c r="AS118" s="7">
        <v>1.45</v>
      </c>
      <c r="AU118" s="7">
        <v>199.933</v>
      </c>
      <c r="AV118" s="7">
        <v>71.0</v>
      </c>
      <c r="AW118" s="7">
        <v>10.0</v>
      </c>
      <c r="AX118" s="7">
        <v>20.0</v>
      </c>
      <c r="AY118" s="7">
        <v>4.21</v>
      </c>
      <c r="AZ118" s="7">
        <v>8.42</v>
      </c>
      <c r="BA118" s="7">
        <v>2.11</v>
      </c>
      <c r="BB118" s="7">
        <v>4.21</v>
      </c>
      <c r="BC118" s="7">
        <v>0.0</v>
      </c>
      <c r="BD118" s="7">
        <v>2.11</v>
      </c>
      <c r="BE118" s="7">
        <v>2.11</v>
      </c>
      <c r="BF118" s="7" t="s">
        <v>79</v>
      </c>
      <c r="BG118" s="10"/>
      <c r="BH118" s="12"/>
      <c r="BI118" s="12"/>
      <c r="BJ118" s="12">
        <f t="shared" si="1"/>
        <v>0.3333333333</v>
      </c>
      <c r="BK118" s="12">
        <f t="shared" si="2"/>
        <v>0</v>
      </c>
      <c r="BL118" s="12">
        <f t="shared" si="3"/>
        <v>0.5</v>
      </c>
      <c r="BM118" s="13">
        <f t="shared" si="4"/>
        <v>1</v>
      </c>
      <c r="BN118" s="13">
        <f t="shared" si="5"/>
        <v>0</v>
      </c>
      <c r="BO118" s="12">
        <f t="shared" si="6"/>
        <v>0</v>
      </c>
      <c r="BP118" s="14">
        <f t="shared" si="7"/>
        <v>0.5</v>
      </c>
    </row>
    <row r="119">
      <c r="A119" s="7" t="s">
        <v>171</v>
      </c>
      <c r="B119" s="7" t="s">
        <v>172</v>
      </c>
      <c r="C119" s="8">
        <v>46187.0</v>
      </c>
      <c r="D119" s="7" t="s">
        <v>173</v>
      </c>
      <c r="E119" s="7" t="s">
        <v>98</v>
      </c>
      <c r="F119" s="7" t="s">
        <v>149</v>
      </c>
      <c r="G119" s="7">
        <v>65.0</v>
      </c>
      <c r="H119" s="7">
        <v>98.0</v>
      </c>
      <c r="I119" s="7">
        <v>13.0</v>
      </c>
      <c r="J119" s="7" t="s">
        <v>110</v>
      </c>
      <c r="K119" s="7" t="b">
        <v>1</v>
      </c>
      <c r="L119" s="2">
        <v>23.133</v>
      </c>
      <c r="M119" s="9">
        <v>0.9638888888888889</v>
      </c>
      <c r="N119" s="7">
        <v>23.133</v>
      </c>
      <c r="O119" s="15">
        <v>0.9638888888888889</v>
      </c>
      <c r="P119" s="7">
        <v>5.0</v>
      </c>
      <c r="Q119" s="7">
        <v>2.0</v>
      </c>
      <c r="R119" s="7">
        <v>3.0</v>
      </c>
      <c r="S119" s="7">
        <v>0.0</v>
      </c>
      <c r="T119" s="7">
        <v>2.0</v>
      </c>
      <c r="U119" s="7">
        <v>1.0</v>
      </c>
      <c r="V119" s="7">
        <v>2.0</v>
      </c>
      <c r="W119" s="7">
        <v>2.0</v>
      </c>
      <c r="X119" s="7">
        <v>5.0</v>
      </c>
      <c r="Y119" s="7">
        <v>0.6667</v>
      </c>
      <c r="Z119" s="7">
        <v>0.0</v>
      </c>
      <c r="AA119" s="7">
        <v>0.5</v>
      </c>
      <c r="AB119" s="7">
        <v>0.4</v>
      </c>
      <c r="AC119" s="7">
        <v>0.4252</v>
      </c>
      <c r="AD119" s="7">
        <v>1.0</v>
      </c>
      <c r="AE119" s="7">
        <v>0.6</v>
      </c>
      <c r="AF119" s="7">
        <v>0.4</v>
      </c>
      <c r="AG119" s="7">
        <v>1.0</v>
      </c>
      <c r="AH119" s="7">
        <v>5.0</v>
      </c>
      <c r="AI119" s="7">
        <v>4.0</v>
      </c>
      <c r="AJ119" s="7">
        <v>6.0</v>
      </c>
      <c r="AK119" s="7">
        <v>1.0</v>
      </c>
      <c r="AL119" s="7">
        <v>5.0</v>
      </c>
      <c r="AM119" s="7">
        <v>0.111</v>
      </c>
      <c r="AN119" s="7">
        <v>0.0</v>
      </c>
      <c r="AO119" s="7">
        <v>3.0</v>
      </c>
      <c r="AP119" s="7">
        <v>0.19</v>
      </c>
      <c r="AQ119" s="7">
        <v>0.179</v>
      </c>
      <c r="AR119" s="7">
        <v>0.65</v>
      </c>
      <c r="AS119" s="7">
        <v>0.94</v>
      </c>
      <c r="AU119" s="7">
        <v>199.933</v>
      </c>
      <c r="AV119" s="7">
        <v>71.0</v>
      </c>
      <c r="AW119" s="7">
        <v>10.0</v>
      </c>
      <c r="AX119" s="7">
        <v>20.0</v>
      </c>
      <c r="AY119" s="7">
        <v>7.78</v>
      </c>
      <c r="AZ119" s="7">
        <v>9.34</v>
      </c>
      <c r="BA119" s="7">
        <v>1.56</v>
      </c>
      <c r="BB119" s="7">
        <v>6.22</v>
      </c>
      <c r="BC119" s="7">
        <v>4.67</v>
      </c>
      <c r="BD119" s="7">
        <v>0.0</v>
      </c>
      <c r="BE119" s="7">
        <v>7.78</v>
      </c>
      <c r="BF119" s="7" t="s">
        <v>86</v>
      </c>
      <c r="BG119" s="10"/>
      <c r="BH119" s="12"/>
      <c r="BI119" s="12"/>
      <c r="BJ119" s="12">
        <f t="shared" si="1"/>
        <v>0.4048582996</v>
      </c>
      <c r="BK119" s="12">
        <f t="shared" si="2"/>
        <v>0.4</v>
      </c>
      <c r="BL119" s="12">
        <f t="shared" si="3"/>
        <v>1</v>
      </c>
      <c r="BM119" s="13">
        <f t="shared" si="4"/>
        <v>0.8</v>
      </c>
      <c r="BN119" s="13">
        <f t="shared" si="5"/>
        <v>0</v>
      </c>
      <c r="BO119" s="12">
        <f t="shared" si="6"/>
        <v>0.2</v>
      </c>
      <c r="BP119" s="14">
        <f t="shared" si="7"/>
        <v>0.25</v>
      </c>
    </row>
    <row r="120">
      <c r="A120" s="7" t="s">
        <v>171</v>
      </c>
      <c r="B120" s="7" t="s">
        <v>172</v>
      </c>
      <c r="C120" s="8">
        <v>46187.0</v>
      </c>
      <c r="D120" s="7" t="s">
        <v>173</v>
      </c>
      <c r="E120" s="7" t="s">
        <v>98</v>
      </c>
      <c r="F120" s="7" t="s">
        <v>149</v>
      </c>
      <c r="G120" s="7">
        <v>65.0</v>
      </c>
      <c r="H120" s="7">
        <v>98.0</v>
      </c>
      <c r="I120" s="7">
        <v>24.0</v>
      </c>
      <c r="J120" s="7" t="s">
        <v>111</v>
      </c>
      <c r="K120" s="7" t="b">
        <v>0</v>
      </c>
      <c r="L120" s="2">
        <v>20.367</v>
      </c>
      <c r="M120" s="9">
        <v>0.8486111111111111</v>
      </c>
      <c r="N120" s="7">
        <v>20.367</v>
      </c>
      <c r="O120" s="15">
        <v>0.8486111111111111</v>
      </c>
      <c r="P120" s="7">
        <v>14.0</v>
      </c>
      <c r="Q120" s="7">
        <v>3.0</v>
      </c>
      <c r="R120" s="7">
        <v>5.0</v>
      </c>
      <c r="S120" s="7">
        <v>2.0</v>
      </c>
      <c r="T120" s="7">
        <v>3.0</v>
      </c>
      <c r="U120" s="7">
        <v>2.0</v>
      </c>
      <c r="V120" s="7">
        <v>2.0</v>
      </c>
      <c r="W120" s="7">
        <v>5.0</v>
      </c>
      <c r="X120" s="7">
        <v>8.0</v>
      </c>
      <c r="Y120" s="7">
        <v>0.6</v>
      </c>
      <c r="Z120" s="7">
        <v>0.6667</v>
      </c>
      <c r="AA120" s="7">
        <v>1.0</v>
      </c>
      <c r="AB120" s="7">
        <v>0.75</v>
      </c>
      <c r="AC120" s="7">
        <v>0.7883</v>
      </c>
      <c r="AD120" s="7">
        <v>1.0</v>
      </c>
      <c r="AE120" s="7">
        <v>0.625</v>
      </c>
      <c r="AF120" s="7">
        <v>0.375</v>
      </c>
      <c r="AG120" s="7">
        <v>1.0</v>
      </c>
      <c r="AH120" s="7">
        <v>1.0</v>
      </c>
      <c r="AI120" s="7">
        <v>2.0</v>
      </c>
      <c r="AJ120" s="7">
        <v>3.0</v>
      </c>
      <c r="AK120" s="7">
        <v>2.0</v>
      </c>
      <c r="AL120" s="7">
        <v>1.0</v>
      </c>
      <c r="AM120" s="7">
        <v>0.061</v>
      </c>
      <c r="AN120" s="7">
        <v>0.0</v>
      </c>
      <c r="AO120" s="7">
        <v>2.0</v>
      </c>
      <c r="AP120" s="7">
        <v>0.222</v>
      </c>
      <c r="AQ120" s="7">
        <v>0.2239</v>
      </c>
      <c r="AR120" s="7">
        <v>0.83</v>
      </c>
      <c r="AS120" s="7">
        <v>1.02</v>
      </c>
      <c r="AU120" s="7">
        <v>199.933</v>
      </c>
      <c r="AV120" s="7">
        <v>71.0</v>
      </c>
      <c r="AW120" s="7">
        <v>10.0</v>
      </c>
      <c r="AX120" s="7">
        <v>20.0</v>
      </c>
      <c r="AY120" s="7">
        <v>24.75</v>
      </c>
      <c r="AZ120" s="7">
        <v>5.3</v>
      </c>
      <c r="BA120" s="7">
        <v>1.77</v>
      </c>
      <c r="BB120" s="7">
        <v>3.54</v>
      </c>
      <c r="BC120" s="7">
        <v>3.54</v>
      </c>
      <c r="BD120" s="7">
        <v>0.0</v>
      </c>
      <c r="BE120" s="7">
        <v>1.77</v>
      </c>
      <c r="BF120" s="7" t="s">
        <v>76</v>
      </c>
      <c r="BG120" s="10"/>
      <c r="BH120" s="12"/>
      <c r="BI120" s="12"/>
      <c r="BJ120" s="12">
        <f t="shared" si="1"/>
        <v>0.1838235294</v>
      </c>
      <c r="BK120" s="12">
        <f t="shared" si="2"/>
        <v>0.25</v>
      </c>
      <c r="BL120" s="12">
        <f t="shared" si="3"/>
        <v>1.75</v>
      </c>
      <c r="BM120" s="13">
        <f t="shared" si="4"/>
        <v>0.4285714286</v>
      </c>
      <c r="BN120" s="13">
        <f t="shared" si="5"/>
        <v>0.4285714286</v>
      </c>
      <c r="BO120" s="12">
        <f t="shared" si="6"/>
        <v>0.1428571429</v>
      </c>
      <c r="BP120" s="14">
        <f t="shared" si="7"/>
        <v>0.5</v>
      </c>
    </row>
    <row r="121">
      <c r="A121" s="7" t="s">
        <v>171</v>
      </c>
      <c r="B121" s="7" t="s">
        <v>172</v>
      </c>
      <c r="C121" s="8">
        <v>46187.0</v>
      </c>
      <c r="D121" s="7" t="s">
        <v>173</v>
      </c>
      <c r="E121" s="7" t="s">
        <v>98</v>
      </c>
      <c r="F121" s="7" t="s">
        <v>149</v>
      </c>
      <c r="G121" s="7">
        <v>65.0</v>
      </c>
      <c r="H121" s="7">
        <v>98.0</v>
      </c>
      <c r="I121" s="7">
        <v>32.0</v>
      </c>
      <c r="J121" s="7" t="s">
        <v>112</v>
      </c>
      <c r="K121" s="7" t="b">
        <v>1</v>
      </c>
      <c r="L121" s="2">
        <v>18.65</v>
      </c>
      <c r="M121" s="9">
        <v>0.7770833333333333</v>
      </c>
      <c r="N121" s="7">
        <v>18.65</v>
      </c>
      <c r="O121" s="15">
        <v>0.7770833333333333</v>
      </c>
      <c r="P121" s="7">
        <v>6.0</v>
      </c>
      <c r="Q121" s="7">
        <v>3.0</v>
      </c>
      <c r="R121" s="7">
        <v>6.0</v>
      </c>
      <c r="S121" s="7">
        <v>0.0</v>
      </c>
      <c r="T121" s="7">
        <v>0.0</v>
      </c>
      <c r="U121" s="7">
        <v>0.0</v>
      </c>
      <c r="V121" s="7">
        <v>0.0</v>
      </c>
      <c r="W121" s="7">
        <v>3.0</v>
      </c>
      <c r="X121" s="7">
        <v>6.0</v>
      </c>
      <c r="Y121" s="7">
        <v>0.5</v>
      </c>
      <c r="AB121" s="7">
        <v>0.5</v>
      </c>
      <c r="AC121" s="7">
        <v>0.5</v>
      </c>
      <c r="AD121" s="7">
        <v>0.0</v>
      </c>
      <c r="AE121" s="7">
        <v>1.0</v>
      </c>
      <c r="AF121" s="7">
        <v>0.0</v>
      </c>
      <c r="AG121" s="7">
        <v>1.0</v>
      </c>
      <c r="AH121" s="7">
        <v>1.0</v>
      </c>
      <c r="AI121" s="7">
        <v>1.0</v>
      </c>
      <c r="AJ121" s="7">
        <v>3.0</v>
      </c>
      <c r="AK121" s="7">
        <v>1.0</v>
      </c>
      <c r="AL121" s="7">
        <v>2.0</v>
      </c>
      <c r="AM121" s="7">
        <v>0.079</v>
      </c>
      <c r="AN121" s="7">
        <v>0.0</v>
      </c>
      <c r="AO121" s="7">
        <v>0.0</v>
      </c>
      <c r="AP121" s="7">
        <v>0.163</v>
      </c>
      <c r="AQ121" s="7">
        <v>0.1573</v>
      </c>
      <c r="AR121" s="7">
        <v>0.84</v>
      </c>
      <c r="AS121" s="7">
        <v>0.97</v>
      </c>
      <c r="AU121" s="7">
        <v>199.933</v>
      </c>
      <c r="AV121" s="7">
        <v>71.0</v>
      </c>
      <c r="AW121" s="7">
        <v>10.0</v>
      </c>
      <c r="AX121" s="7">
        <v>20.0</v>
      </c>
      <c r="AY121" s="7">
        <v>11.58</v>
      </c>
      <c r="AZ121" s="7">
        <v>5.79</v>
      </c>
      <c r="BA121" s="7">
        <v>1.93</v>
      </c>
      <c r="BB121" s="7">
        <v>1.93</v>
      </c>
      <c r="BC121" s="7">
        <v>0.0</v>
      </c>
      <c r="BD121" s="7">
        <v>0.0</v>
      </c>
      <c r="BE121" s="7">
        <v>1.93</v>
      </c>
      <c r="BF121" s="7" t="s">
        <v>79</v>
      </c>
      <c r="BG121" s="10"/>
      <c r="BH121" s="12"/>
      <c r="BI121" s="12"/>
      <c r="BJ121" s="12">
        <f t="shared" si="1"/>
        <v>0.1428571429</v>
      </c>
      <c r="BK121" s="12">
        <f t="shared" si="2"/>
        <v>0</v>
      </c>
      <c r="BL121" s="12">
        <f t="shared" si="3"/>
        <v>1</v>
      </c>
      <c r="BM121" s="13">
        <f t="shared" si="4"/>
        <v>1</v>
      </c>
      <c r="BN121" s="13">
        <f t="shared" si="5"/>
        <v>0</v>
      </c>
      <c r="BO121" s="12">
        <f t="shared" si="6"/>
        <v>0</v>
      </c>
      <c r="BP121" s="14">
        <f t="shared" si="7"/>
        <v>1</v>
      </c>
    </row>
    <row r="122">
      <c r="A122" s="7" t="s">
        <v>174</v>
      </c>
      <c r="B122" s="7" t="s">
        <v>175</v>
      </c>
      <c r="C122" s="8">
        <v>46187.0</v>
      </c>
      <c r="D122" s="7" t="s">
        <v>176</v>
      </c>
      <c r="E122" s="7" t="s">
        <v>148</v>
      </c>
      <c r="F122" s="7" t="s">
        <v>126</v>
      </c>
      <c r="G122" s="7">
        <v>86.0</v>
      </c>
      <c r="H122" s="7">
        <v>62.0</v>
      </c>
      <c r="I122" s="7">
        <v>0.0</v>
      </c>
      <c r="J122" s="7" t="s">
        <v>150</v>
      </c>
      <c r="K122" s="7" t="b">
        <v>1</v>
      </c>
      <c r="L122" s="2">
        <v>32.483</v>
      </c>
      <c r="M122" s="9">
        <v>1.3534722222222222</v>
      </c>
      <c r="N122" s="7">
        <v>32.483</v>
      </c>
      <c r="O122" s="9">
        <v>1.3534722222222222</v>
      </c>
      <c r="P122" s="7">
        <v>25.0</v>
      </c>
      <c r="Q122" s="7">
        <v>9.0</v>
      </c>
      <c r="R122" s="7">
        <v>19.0</v>
      </c>
      <c r="S122" s="7">
        <v>1.0</v>
      </c>
      <c r="T122" s="7">
        <v>5.0</v>
      </c>
      <c r="U122" s="7">
        <v>4.0</v>
      </c>
      <c r="V122" s="7">
        <v>5.0</v>
      </c>
      <c r="W122" s="7">
        <v>10.0</v>
      </c>
      <c r="X122" s="7">
        <v>24.0</v>
      </c>
      <c r="Y122" s="7">
        <v>0.4737</v>
      </c>
      <c r="Z122" s="7">
        <v>0.2</v>
      </c>
      <c r="AA122" s="7">
        <v>0.8</v>
      </c>
      <c r="AB122" s="7">
        <v>0.4375</v>
      </c>
      <c r="AC122" s="7">
        <v>0.4771</v>
      </c>
      <c r="AD122" s="7">
        <v>2.0</v>
      </c>
      <c r="AE122" s="7">
        <v>0.792</v>
      </c>
      <c r="AF122" s="7">
        <v>0.208</v>
      </c>
      <c r="AG122" s="7">
        <v>3.0</v>
      </c>
      <c r="AH122" s="7">
        <v>3.0</v>
      </c>
      <c r="AI122" s="7">
        <v>3.0</v>
      </c>
      <c r="AJ122" s="7">
        <v>3.0</v>
      </c>
      <c r="AK122" s="7">
        <v>2.0</v>
      </c>
      <c r="AL122" s="7">
        <v>1.0</v>
      </c>
      <c r="AM122" s="7">
        <v>0.038</v>
      </c>
      <c r="AN122" s="7">
        <v>0.0</v>
      </c>
      <c r="AO122" s="7">
        <v>2.0</v>
      </c>
      <c r="AP122" s="7">
        <v>0.351</v>
      </c>
      <c r="AQ122" s="7">
        <v>0.3119</v>
      </c>
      <c r="AR122" s="7">
        <v>1.03</v>
      </c>
      <c r="AS122" s="7">
        <v>0.77</v>
      </c>
      <c r="AU122" s="7">
        <v>199.917</v>
      </c>
      <c r="AV122" s="7">
        <v>85.0</v>
      </c>
      <c r="AW122" s="7">
        <v>21.0</v>
      </c>
      <c r="AX122" s="7">
        <v>21.0</v>
      </c>
      <c r="AY122" s="7">
        <v>27.71</v>
      </c>
      <c r="AZ122" s="7">
        <v>3.32</v>
      </c>
      <c r="BA122" s="7">
        <v>3.32</v>
      </c>
      <c r="BB122" s="7">
        <v>3.32</v>
      </c>
      <c r="BC122" s="7">
        <v>2.22</v>
      </c>
      <c r="BD122" s="7">
        <v>0.0</v>
      </c>
      <c r="BE122" s="7">
        <v>3.32</v>
      </c>
      <c r="BF122" s="7" t="s">
        <v>76</v>
      </c>
      <c r="BG122" s="10"/>
      <c r="BH122" s="12"/>
      <c r="BI122" s="12"/>
      <c r="BJ122" s="12">
        <f t="shared" si="1"/>
        <v>0.102739726</v>
      </c>
      <c r="BK122" s="12">
        <f t="shared" si="2"/>
        <v>0.2083333333</v>
      </c>
      <c r="BL122" s="12">
        <f t="shared" si="3"/>
        <v>1.041666667</v>
      </c>
      <c r="BM122" s="13">
        <f t="shared" si="4"/>
        <v>0.72</v>
      </c>
      <c r="BN122" s="13">
        <f t="shared" si="5"/>
        <v>0.12</v>
      </c>
      <c r="BO122" s="12">
        <f t="shared" si="6"/>
        <v>0.16</v>
      </c>
      <c r="BP122" s="14">
        <f t="shared" si="7"/>
        <v>1</v>
      </c>
    </row>
    <row r="123">
      <c r="A123" s="7" t="s">
        <v>174</v>
      </c>
      <c r="B123" s="7" t="s">
        <v>175</v>
      </c>
      <c r="C123" s="8">
        <v>46187.0</v>
      </c>
      <c r="D123" s="7" t="s">
        <v>176</v>
      </c>
      <c r="E123" s="7" t="s">
        <v>148</v>
      </c>
      <c r="F123" s="7" t="s">
        <v>126</v>
      </c>
      <c r="G123" s="7">
        <v>86.0</v>
      </c>
      <c r="H123" s="7">
        <v>62.0</v>
      </c>
      <c r="I123" s="7">
        <v>3.0</v>
      </c>
      <c r="J123" s="7" t="s">
        <v>152</v>
      </c>
      <c r="K123" s="7" t="b">
        <v>1</v>
      </c>
      <c r="L123" s="2">
        <v>33.517</v>
      </c>
      <c r="M123" s="9">
        <v>1.3965277777777778</v>
      </c>
      <c r="N123" s="7">
        <v>33.517</v>
      </c>
      <c r="O123" s="9">
        <v>1.3965277777777778</v>
      </c>
      <c r="P123" s="7">
        <v>6.0</v>
      </c>
      <c r="Q123" s="7">
        <v>2.0</v>
      </c>
      <c r="R123" s="7">
        <v>5.0</v>
      </c>
      <c r="S123" s="7">
        <v>0.0</v>
      </c>
      <c r="T123" s="7">
        <v>0.0</v>
      </c>
      <c r="U123" s="7">
        <v>2.0</v>
      </c>
      <c r="V123" s="7">
        <v>5.0</v>
      </c>
      <c r="W123" s="7">
        <v>2.0</v>
      </c>
      <c r="X123" s="7">
        <v>5.0</v>
      </c>
      <c r="Y123" s="7">
        <v>0.4</v>
      </c>
      <c r="AA123" s="7">
        <v>0.4</v>
      </c>
      <c r="AB123" s="7">
        <v>0.4</v>
      </c>
      <c r="AC123" s="7">
        <v>0.4167</v>
      </c>
      <c r="AD123" s="7">
        <v>2.0</v>
      </c>
      <c r="AE123" s="7">
        <v>1.0</v>
      </c>
      <c r="AF123" s="7">
        <v>0.0</v>
      </c>
      <c r="AG123" s="7">
        <v>1.0</v>
      </c>
      <c r="AH123" s="7">
        <v>2.0</v>
      </c>
      <c r="AI123" s="7">
        <v>0.0</v>
      </c>
      <c r="AJ123" s="7">
        <v>21.0</v>
      </c>
      <c r="AK123" s="7">
        <v>7.0</v>
      </c>
      <c r="AL123" s="7">
        <v>14.0</v>
      </c>
      <c r="AM123" s="7">
        <v>0.239</v>
      </c>
      <c r="AN123" s="7">
        <v>0.0</v>
      </c>
      <c r="AO123" s="7">
        <v>4.0</v>
      </c>
      <c r="AP123" s="7">
        <v>0.106</v>
      </c>
      <c r="AQ123" s="7">
        <v>0.0745</v>
      </c>
      <c r="AR123" s="7">
        <v>1.13</v>
      </c>
      <c r="AS123" s="7">
        <v>0.62</v>
      </c>
      <c r="AU123" s="7">
        <v>199.917</v>
      </c>
      <c r="AV123" s="7">
        <v>85.0</v>
      </c>
      <c r="AW123" s="7">
        <v>21.0</v>
      </c>
      <c r="AX123" s="7">
        <v>21.0</v>
      </c>
      <c r="AY123" s="7">
        <v>6.44</v>
      </c>
      <c r="AZ123" s="7">
        <v>22.56</v>
      </c>
      <c r="BA123" s="7">
        <v>1.07</v>
      </c>
      <c r="BB123" s="7">
        <v>0.0</v>
      </c>
      <c r="BC123" s="7">
        <v>4.3</v>
      </c>
      <c r="BD123" s="7">
        <v>0.0</v>
      </c>
      <c r="BE123" s="7">
        <v>2.15</v>
      </c>
      <c r="BF123" s="7" t="s">
        <v>86</v>
      </c>
      <c r="BG123" s="10"/>
      <c r="BH123" s="12"/>
      <c r="BI123" s="12"/>
      <c r="BJ123" s="12">
        <f t="shared" si="1"/>
        <v>0</v>
      </c>
      <c r="BK123" s="12">
        <f t="shared" si="2"/>
        <v>1</v>
      </c>
      <c r="BL123" s="12">
        <f t="shared" si="3"/>
        <v>1.2</v>
      </c>
      <c r="BM123" s="13">
        <f t="shared" si="4"/>
        <v>0.6666666667</v>
      </c>
      <c r="BN123" s="13">
        <f t="shared" si="5"/>
        <v>0</v>
      </c>
      <c r="BO123" s="12">
        <f t="shared" si="6"/>
        <v>0.3333333333</v>
      </c>
      <c r="BP123" s="14" t="str">
        <f t="shared" si="7"/>
        <v/>
      </c>
    </row>
    <row r="124">
      <c r="A124" s="7" t="s">
        <v>174</v>
      </c>
      <c r="B124" s="7" t="s">
        <v>175</v>
      </c>
      <c r="C124" s="8">
        <v>46187.0</v>
      </c>
      <c r="D124" s="7" t="s">
        <v>176</v>
      </c>
      <c r="E124" s="7" t="s">
        <v>148</v>
      </c>
      <c r="F124" s="7" t="s">
        <v>126</v>
      </c>
      <c r="G124" s="7">
        <v>86.0</v>
      </c>
      <c r="H124" s="7">
        <v>62.0</v>
      </c>
      <c r="I124" s="7">
        <v>5.0</v>
      </c>
      <c r="J124" s="7" t="s">
        <v>153</v>
      </c>
      <c r="K124" s="7" t="b">
        <v>1</v>
      </c>
      <c r="L124" s="2">
        <v>18.8</v>
      </c>
      <c r="M124" s="9">
        <v>0.7833333333333333</v>
      </c>
      <c r="N124" s="7">
        <v>18.8</v>
      </c>
      <c r="O124" s="15">
        <v>0.7833333333333333</v>
      </c>
      <c r="P124" s="7">
        <v>4.0</v>
      </c>
      <c r="Q124" s="7">
        <v>2.0</v>
      </c>
      <c r="R124" s="7">
        <v>3.0</v>
      </c>
      <c r="S124" s="7">
        <v>0.0</v>
      </c>
      <c r="T124" s="7">
        <v>2.0</v>
      </c>
      <c r="U124" s="7">
        <v>0.0</v>
      </c>
      <c r="V124" s="7">
        <v>0.0</v>
      </c>
      <c r="W124" s="7">
        <v>2.0</v>
      </c>
      <c r="X124" s="7">
        <v>5.0</v>
      </c>
      <c r="Y124" s="7">
        <v>0.6667</v>
      </c>
      <c r="Z124" s="7">
        <v>0.0</v>
      </c>
      <c r="AB124" s="7">
        <v>0.4</v>
      </c>
      <c r="AC124" s="7">
        <v>0.4</v>
      </c>
      <c r="AD124" s="7">
        <v>0.0</v>
      </c>
      <c r="AE124" s="7">
        <v>0.6</v>
      </c>
      <c r="AF124" s="7">
        <v>0.4</v>
      </c>
      <c r="AG124" s="7">
        <v>0.0</v>
      </c>
      <c r="AH124" s="7">
        <v>0.0</v>
      </c>
      <c r="AI124" s="7">
        <v>2.0</v>
      </c>
      <c r="AJ124" s="7">
        <v>4.0</v>
      </c>
      <c r="AK124" s="7">
        <v>2.0</v>
      </c>
      <c r="AL124" s="7">
        <v>2.0</v>
      </c>
      <c r="AM124" s="7">
        <v>0.077</v>
      </c>
      <c r="AN124" s="7">
        <v>0.0</v>
      </c>
      <c r="AO124" s="7">
        <v>0.0</v>
      </c>
      <c r="AP124" s="7">
        <v>0.121</v>
      </c>
      <c r="AQ124" s="7">
        <v>0.1292</v>
      </c>
      <c r="AR124" s="7">
        <v>0.84</v>
      </c>
      <c r="AS124" s="7">
        <v>0.68</v>
      </c>
      <c r="AU124" s="7">
        <v>199.917</v>
      </c>
      <c r="AV124" s="7">
        <v>85.0</v>
      </c>
      <c r="AW124" s="7">
        <v>21.0</v>
      </c>
      <c r="AX124" s="7">
        <v>21.0</v>
      </c>
      <c r="AY124" s="7">
        <v>7.66</v>
      </c>
      <c r="AZ124" s="7">
        <v>7.66</v>
      </c>
      <c r="BA124" s="7">
        <v>0.0</v>
      </c>
      <c r="BB124" s="7">
        <v>3.83</v>
      </c>
      <c r="BC124" s="7">
        <v>0.0</v>
      </c>
      <c r="BD124" s="7">
        <v>0.0</v>
      </c>
      <c r="BE124" s="7">
        <v>0.0</v>
      </c>
      <c r="BF124" s="7" t="s">
        <v>79</v>
      </c>
      <c r="BG124" s="10"/>
      <c r="BH124" s="12"/>
      <c r="BI124" s="12"/>
      <c r="BJ124" s="12">
        <f t="shared" si="1"/>
        <v>0.2857142857</v>
      </c>
      <c r="BK124" s="12">
        <f t="shared" si="2"/>
        <v>0</v>
      </c>
      <c r="BL124" s="12">
        <f t="shared" si="3"/>
        <v>0.8</v>
      </c>
      <c r="BM124" s="13">
        <f t="shared" si="4"/>
        <v>1</v>
      </c>
      <c r="BN124" s="13">
        <f t="shared" si="5"/>
        <v>0</v>
      </c>
      <c r="BO124" s="12">
        <f t="shared" si="6"/>
        <v>0</v>
      </c>
      <c r="BP124" s="14">
        <f t="shared" si="7"/>
        <v>0</v>
      </c>
    </row>
    <row r="125">
      <c r="A125" s="7" t="s">
        <v>174</v>
      </c>
      <c r="B125" s="7" t="s">
        <v>175</v>
      </c>
      <c r="C125" s="8">
        <v>46187.0</v>
      </c>
      <c r="D125" s="7" t="s">
        <v>176</v>
      </c>
      <c r="E125" s="7" t="s">
        <v>148</v>
      </c>
      <c r="F125" s="7" t="s">
        <v>126</v>
      </c>
      <c r="G125" s="7">
        <v>86.0</v>
      </c>
      <c r="H125" s="7">
        <v>62.0</v>
      </c>
      <c r="I125" s="7">
        <v>11.0</v>
      </c>
      <c r="J125" s="7" t="s">
        <v>154</v>
      </c>
      <c r="K125" s="7" t="b">
        <v>1</v>
      </c>
      <c r="L125" s="2">
        <v>33.983</v>
      </c>
      <c r="M125" s="9">
        <v>1.4159722222222222</v>
      </c>
      <c r="N125" s="7">
        <v>33.983</v>
      </c>
      <c r="O125" s="9">
        <v>1.4159722222222222</v>
      </c>
      <c r="P125" s="7">
        <v>15.0</v>
      </c>
      <c r="Q125" s="7">
        <v>0.0</v>
      </c>
      <c r="R125" s="7">
        <v>7.0</v>
      </c>
      <c r="S125" s="7">
        <v>4.0</v>
      </c>
      <c r="T125" s="7">
        <v>8.0</v>
      </c>
      <c r="U125" s="7">
        <v>3.0</v>
      </c>
      <c r="V125" s="7">
        <v>4.0</v>
      </c>
      <c r="W125" s="7">
        <v>4.0</v>
      </c>
      <c r="X125" s="7">
        <v>15.0</v>
      </c>
      <c r="Y125" s="7">
        <v>0.0</v>
      </c>
      <c r="Z125" s="7">
        <v>0.5</v>
      </c>
      <c r="AA125" s="7">
        <v>0.75</v>
      </c>
      <c r="AB125" s="7">
        <v>0.4</v>
      </c>
      <c r="AC125" s="7">
        <v>0.4475</v>
      </c>
      <c r="AD125" s="7">
        <v>1.0</v>
      </c>
      <c r="AE125" s="7">
        <v>0.467</v>
      </c>
      <c r="AF125" s="7">
        <v>0.533</v>
      </c>
      <c r="AG125" s="7">
        <v>4.0</v>
      </c>
      <c r="AH125" s="7">
        <v>5.0</v>
      </c>
      <c r="AI125" s="7">
        <v>4.0</v>
      </c>
      <c r="AJ125" s="7">
        <v>2.0</v>
      </c>
      <c r="AK125" s="7">
        <v>1.0</v>
      </c>
      <c r="AL125" s="7">
        <v>1.0</v>
      </c>
      <c r="AM125" s="7">
        <v>0.024</v>
      </c>
      <c r="AN125" s="7">
        <v>1.0</v>
      </c>
      <c r="AO125" s="7">
        <v>2.0</v>
      </c>
      <c r="AP125" s="7">
        <v>0.24</v>
      </c>
      <c r="AQ125" s="7">
        <v>0.212</v>
      </c>
      <c r="AR125" s="7">
        <v>1.01</v>
      </c>
      <c r="AS125" s="7">
        <v>0.79</v>
      </c>
      <c r="AU125" s="7">
        <v>199.917</v>
      </c>
      <c r="AV125" s="7">
        <v>85.0</v>
      </c>
      <c r="AW125" s="7">
        <v>21.0</v>
      </c>
      <c r="AX125" s="7">
        <v>21.0</v>
      </c>
      <c r="AY125" s="7">
        <v>15.89</v>
      </c>
      <c r="AZ125" s="7">
        <v>2.12</v>
      </c>
      <c r="BA125" s="7">
        <v>4.24</v>
      </c>
      <c r="BB125" s="7">
        <v>4.24</v>
      </c>
      <c r="BC125" s="7">
        <v>2.12</v>
      </c>
      <c r="BD125" s="7">
        <v>1.06</v>
      </c>
      <c r="BE125" s="7">
        <v>5.3</v>
      </c>
      <c r="BF125" s="7" t="s">
        <v>88</v>
      </c>
      <c r="BG125" s="10"/>
      <c r="BH125" s="12"/>
      <c r="BI125" s="12"/>
      <c r="BJ125" s="12">
        <f t="shared" si="1"/>
        <v>0.1926782274</v>
      </c>
      <c r="BK125" s="12">
        <f t="shared" si="2"/>
        <v>0.2666666667</v>
      </c>
      <c r="BL125" s="12">
        <f t="shared" si="3"/>
        <v>1</v>
      </c>
      <c r="BM125" s="13">
        <f t="shared" si="4"/>
        <v>0</v>
      </c>
      <c r="BN125" s="13">
        <f t="shared" si="5"/>
        <v>0.8</v>
      </c>
      <c r="BO125" s="12">
        <f t="shared" si="6"/>
        <v>0.2</v>
      </c>
      <c r="BP125" s="14">
        <f t="shared" si="7"/>
        <v>1</v>
      </c>
    </row>
    <row r="126">
      <c r="A126" s="7" t="s">
        <v>174</v>
      </c>
      <c r="B126" s="7" t="s">
        <v>175</v>
      </c>
      <c r="C126" s="8">
        <v>46187.0</v>
      </c>
      <c r="D126" s="7" t="s">
        <v>176</v>
      </c>
      <c r="E126" s="7" t="s">
        <v>148</v>
      </c>
      <c r="F126" s="7" t="s">
        <v>126</v>
      </c>
      <c r="G126" s="7">
        <v>86.0</v>
      </c>
      <c r="H126" s="7">
        <v>62.0</v>
      </c>
      <c r="I126" s="7">
        <v>12.0</v>
      </c>
      <c r="J126" s="7" t="s">
        <v>177</v>
      </c>
      <c r="K126" s="7" t="b">
        <v>0</v>
      </c>
      <c r="L126" s="2">
        <v>21.717</v>
      </c>
      <c r="M126" s="9">
        <v>0.9048611111111111</v>
      </c>
      <c r="N126" s="7">
        <v>21.717</v>
      </c>
      <c r="O126" s="15">
        <v>0.9048611111111111</v>
      </c>
      <c r="P126" s="7">
        <v>6.0</v>
      </c>
      <c r="Q126" s="7">
        <v>3.0</v>
      </c>
      <c r="R126" s="7">
        <v>9.0</v>
      </c>
      <c r="S126" s="7">
        <v>0.0</v>
      </c>
      <c r="T126" s="7">
        <v>0.0</v>
      </c>
      <c r="U126" s="7">
        <v>0.0</v>
      </c>
      <c r="V126" s="7">
        <v>0.0</v>
      </c>
      <c r="W126" s="7">
        <v>3.0</v>
      </c>
      <c r="X126" s="7">
        <v>9.0</v>
      </c>
      <c r="Y126" s="7">
        <v>0.3333</v>
      </c>
      <c r="AB126" s="7">
        <v>0.3333</v>
      </c>
      <c r="AC126" s="7">
        <v>0.3333</v>
      </c>
      <c r="AD126" s="7">
        <v>0.0</v>
      </c>
      <c r="AE126" s="7">
        <v>1.0</v>
      </c>
      <c r="AF126" s="7">
        <v>0.0</v>
      </c>
      <c r="AG126" s="7">
        <v>1.0</v>
      </c>
      <c r="AH126" s="7">
        <v>5.0</v>
      </c>
      <c r="AI126" s="7">
        <v>1.0</v>
      </c>
      <c r="AJ126" s="7">
        <v>3.0</v>
      </c>
      <c r="AK126" s="7">
        <v>3.0</v>
      </c>
      <c r="AL126" s="7">
        <v>0.0</v>
      </c>
      <c r="AM126" s="7">
        <v>0.052</v>
      </c>
      <c r="AN126" s="7">
        <v>0.0</v>
      </c>
      <c r="AO126" s="7">
        <v>1.0</v>
      </c>
      <c r="AP126" s="7">
        <v>0.147</v>
      </c>
      <c r="AQ126" s="7">
        <v>0.1598</v>
      </c>
      <c r="AR126" s="7">
        <v>1.36</v>
      </c>
      <c r="AS126" s="7">
        <v>0.79</v>
      </c>
      <c r="AU126" s="7">
        <v>199.917</v>
      </c>
      <c r="AV126" s="7">
        <v>85.0</v>
      </c>
      <c r="AW126" s="7">
        <v>21.0</v>
      </c>
      <c r="AX126" s="7">
        <v>21.0</v>
      </c>
      <c r="AY126" s="7">
        <v>9.95</v>
      </c>
      <c r="AZ126" s="7">
        <v>4.97</v>
      </c>
      <c r="BA126" s="7">
        <v>1.66</v>
      </c>
      <c r="BB126" s="7">
        <v>1.66</v>
      </c>
      <c r="BC126" s="7">
        <v>1.66</v>
      </c>
      <c r="BD126" s="7">
        <v>0.0</v>
      </c>
      <c r="BE126" s="7">
        <v>8.29</v>
      </c>
      <c r="BF126" s="7" t="s">
        <v>79</v>
      </c>
      <c r="BG126" s="10"/>
      <c r="BH126" s="12"/>
      <c r="BI126" s="12"/>
      <c r="BJ126" s="12">
        <f t="shared" si="1"/>
        <v>0.1</v>
      </c>
      <c r="BK126" s="12">
        <f t="shared" si="2"/>
        <v>0</v>
      </c>
      <c r="BL126" s="12">
        <f t="shared" si="3"/>
        <v>0.6666666667</v>
      </c>
      <c r="BM126" s="13">
        <f t="shared" si="4"/>
        <v>1</v>
      </c>
      <c r="BN126" s="13">
        <f t="shared" si="5"/>
        <v>0</v>
      </c>
      <c r="BO126" s="12">
        <f t="shared" si="6"/>
        <v>0</v>
      </c>
      <c r="BP126" s="14">
        <f t="shared" si="7"/>
        <v>1</v>
      </c>
    </row>
    <row r="127">
      <c r="A127" s="7" t="s">
        <v>174</v>
      </c>
      <c r="B127" s="7" t="s">
        <v>175</v>
      </c>
      <c r="C127" s="8">
        <v>46187.0</v>
      </c>
      <c r="D127" s="7" t="s">
        <v>176</v>
      </c>
      <c r="E127" s="7" t="s">
        <v>148</v>
      </c>
      <c r="F127" s="7" t="s">
        <v>126</v>
      </c>
      <c r="G127" s="7">
        <v>86.0</v>
      </c>
      <c r="H127" s="7">
        <v>62.0</v>
      </c>
      <c r="I127" s="7">
        <v>13.0</v>
      </c>
      <c r="J127" s="7" t="s">
        <v>155</v>
      </c>
      <c r="K127" s="7" t="b">
        <v>0</v>
      </c>
      <c r="L127" s="2">
        <v>22.417</v>
      </c>
      <c r="M127" s="9">
        <v>0.9340277777777778</v>
      </c>
      <c r="N127" s="7">
        <v>22.417</v>
      </c>
      <c r="O127" s="15">
        <v>0.9340277777777778</v>
      </c>
      <c r="P127" s="7">
        <v>11.0</v>
      </c>
      <c r="Q127" s="7">
        <v>4.0</v>
      </c>
      <c r="R127" s="7">
        <v>6.0</v>
      </c>
      <c r="S127" s="7">
        <v>1.0</v>
      </c>
      <c r="T127" s="7">
        <v>4.0</v>
      </c>
      <c r="U127" s="7">
        <v>0.0</v>
      </c>
      <c r="V127" s="7">
        <v>0.0</v>
      </c>
      <c r="W127" s="7">
        <v>5.0</v>
      </c>
      <c r="X127" s="7">
        <v>10.0</v>
      </c>
      <c r="Y127" s="7">
        <v>0.6667</v>
      </c>
      <c r="Z127" s="7">
        <v>0.25</v>
      </c>
      <c r="AB127" s="7">
        <v>0.55</v>
      </c>
      <c r="AC127" s="7">
        <v>0.55</v>
      </c>
      <c r="AD127" s="7">
        <v>0.0</v>
      </c>
      <c r="AE127" s="7">
        <v>0.6</v>
      </c>
      <c r="AF127" s="7">
        <v>0.4</v>
      </c>
      <c r="AG127" s="7">
        <v>1.0</v>
      </c>
      <c r="AH127" s="7">
        <v>5.0</v>
      </c>
      <c r="AI127" s="7">
        <v>5.0</v>
      </c>
      <c r="AJ127" s="7">
        <v>11.0</v>
      </c>
      <c r="AK127" s="7">
        <v>5.0</v>
      </c>
      <c r="AL127" s="7">
        <v>6.0</v>
      </c>
      <c r="AM127" s="7">
        <v>0.234</v>
      </c>
      <c r="AN127" s="7">
        <v>0.0</v>
      </c>
      <c r="AO127" s="7">
        <v>1.0</v>
      </c>
      <c r="AP127" s="7">
        <v>0.259</v>
      </c>
      <c r="AQ127" s="7">
        <v>0.2322</v>
      </c>
      <c r="AR127" s="7">
        <v>1.17</v>
      </c>
      <c r="AS127" s="7">
        <v>1.12</v>
      </c>
      <c r="AU127" s="7">
        <v>199.917</v>
      </c>
      <c r="AV127" s="7">
        <v>85.0</v>
      </c>
      <c r="AW127" s="7">
        <v>21.0</v>
      </c>
      <c r="AX127" s="7">
        <v>21.0</v>
      </c>
      <c r="AY127" s="7">
        <v>17.67</v>
      </c>
      <c r="AZ127" s="7">
        <v>17.67</v>
      </c>
      <c r="BA127" s="7">
        <v>1.61</v>
      </c>
      <c r="BB127" s="7">
        <v>8.03</v>
      </c>
      <c r="BC127" s="7">
        <v>1.61</v>
      </c>
      <c r="BD127" s="7">
        <v>0.0</v>
      </c>
      <c r="BE127" s="7">
        <v>8.03</v>
      </c>
      <c r="BF127" s="7" t="s">
        <v>84</v>
      </c>
      <c r="BG127" s="10"/>
      <c r="BH127" s="12"/>
      <c r="BI127" s="12"/>
      <c r="BJ127" s="12">
        <f t="shared" si="1"/>
        <v>0.3333333333</v>
      </c>
      <c r="BK127" s="12">
        <f t="shared" si="2"/>
        <v>0</v>
      </c>
      <c r="BL127" s="12">
        <f t="shared" si="3"/>
        <v>1.1</v>
      </c>
      <c r="BM127" s="13">
        <f t="shared" si="4"/>
        <v>0.7272727273</v>
      </c>
      <c r="BN127" s="13">
        <f t="shared" si="5"/>
        <v>0.2727272727</v>
      </c>
      <c r="BO127" s="12">
        <f t="shared" si="6"/>
        <v>0</v>
      </c>
      <c r="BP127" s="14">
        <f t="shared" si="7"/>
        <v>0.2</v>
      </c>
    </row>
    <row r="128">
      <c r="A128" s="7" t="s">
        <v>174</v>
      </c>
      <c r="B128" s="7" t="s">
        <v>175</v>
      </c>
      <c r="C128" s="8">
        <v>46187.0</v>
      </c>
      <c r="D128" s="7" t="s">
        <v>176</v>
      </c>
      <c r="E128" s="7" t="s">
        <v>148</v>
      </c>
      <c r="F128" s="7" t="s">
        <v>126</v>
      </c>
      <c r="G128" s="7">
        <v>86.0</v>
      </c>
      <c r="H128" s="7">
        <v>62.0</v>
      </c>
      <c r="I128" s="7">
        <v>23.0</v>
      </c>
      <c r="J128" s="7" t="s">
        <v>156</v>
      </c>
      <c r="K128" s="7" t="b">
        <v>1</v>
      </c>
      <c r="L128" s="2">
        <v>37.0</v>
      </c>
      <c r="M128" s="9">
        <v>1.5416666666666667</v>
      </c>
      <c r="N128" s="7">
        <v>37.0</v>
      </c>
      <c r="O128" s="9">
        <v>1.5416666666666667</v>
      </c>
      <c r="P128" s="7">
        <v>19.0</v>
      </c>
      <c r="Q128" s="7">
        <v>7.0</v>
      </c>
      <c r="R128" s="7">
        <v>17.0</v>
      </c>
      <c r="S128" s="7">
        <v>0.0</v>
      </c>
      <c r="T128" s="7">
        <v>0.0</v>
      </c>
      <c r="U128" s="7">
        <v>5.0</v>
      </c>
      <c r="V128" s="7">
        <v>7.0</v>
      </c>
      <c r="W128" s="7">
        <v>7.0</v>
      </c>
      <c r="X128" s="7">
        <v>17.0</v>
      </c>
      <c r="Y128" s="7">
        <v>0.4118</v>
      </c>
      <c r="AA128" s="7">
        <v>0.7143</v>
      </c>
      <c r="AB128" s="7">
        <v>0.4118</v>
      </c>
      <c r="AC128" s="7">
        <v>0.4731</v>
      </c>
      <c r="AD128" s="7">
        <v>3.0</v>
      </c>
      <c r="AE128" s="7">
        <v>1.0</v>
      </c>
      <c r="AF128" s="7">
        <v>0.0</v>
      </c>
      <c r="AG128" s="7">
        <v>2.0</v>
      </c>
      <c r="AH128" s="7">
        <v>1.0</v>
      </c>
      <c r="AI128" s="7">
        <v>4.0</v>
      </c>
      <c r="AJ128" s="7">
        <v>16.0</v>
      </c>
      <c r="AK128" s="7">
        <v>11.0</v>
      </c>
      <c r="AL128" s="7">
        <v>5.0</v>
      </c>
      <c r="AM128" s="7">
        <v>0.172</v>
      </c>
      <c r="AN128" s="7">
        <v>1.0</v>
      </c>
      <c r="AO128" s="7">
        <v>1.0</v>
      </c>
      <c r="AP128" s="7">
        <v>0.259</v>
      </c>
      <c r="AQ128" s="7">
        <v>0.2258</v>
      </c>
      <c r="AR128" s="7">
        <v>1.01</v>
      </c>
      <c r="AS128" s="7">
        <v>0.8</v>
      </c>
      <c r="AU128" s="7">
        <v>199.917</v>
      </c>
      <c r="AV128" s="7">
        <v>85.0</v>
      </c>
      <c r="AW128" s="7">
        <v>21.0</v>
      </c>
      <c r="AX128" s="7">
        <v>21.0</v>
      </c>
      <c r="AY128" s="7">
        <v>18.49</v>
      </c>
      <c r="AZ128" s="7">
        <v>15.57</v>
      </c>
      <c r="BA128" s="7">
        <v>1.95</v>
      </c>
      <c r="BB128" s="7">
        <v>3.89</v>
      </c>
      <c r="BC128" s="7">
        <v>0.97</v>
      </c>
      <c r="BD128" s="7">
        <v>0.97</v>
      </c>
      <c r="BE128" s="7">
        <v>0.97</v>
      </c>
      <c r="BF128" s="7" t="s">
        <v>86</v>
      </c>
      <c r="BG128" s="10"/>
      <c r="BH128" s="12"/>
      <c r="BI128" s="12"/>
      <c r="BJ128" s="12">
        <f t="shared" si="1"/>
        <v>0.1661129568</v>
      </c>
      <c r="BK128" s="12">
        <f t="shared" si="2"/>
        <v>0.4117647059</v>
      </c>
      <c r="BL128" s="12">
        <f t="shared" si="3"/>
        <v>1.117647059</v>
      </c>
      <c r="BM128" s="13">
        <f t="shared" si="4"/>
        <v>0.7368421053</v>
      </c>
      <c r="BN128" s="13">
        <f t="shared" si="5"/>
        <v>0</v>
      </c>
      <c r="BO128" s="12">
        <f t="shared" si="6"/>
        <v>0.2631578947</v>
      </c>
      <c r="BP128" s="14">
        <f t="shared" si="7"/>
        <v>0.5</v>
      </c>
    </row>
    <row r="129">
      <c r="A129" s="7" t="s">
        <v>174</v>
      </c>
      <c r="B129" s="7" t="s">
        <v>175</v>
      </c>
      <c r="C129" s="8">
        <v>46187.0</v>
      </c>
      <c r="D129" s="7" t="s">
        <v>176</v>
      </c>
      <c r="E129" s="7" t="s">
        <v>126</v>
      </c>
      <c r="F129" s="7" t="s">
        <v>148</v>
      </c>
      <c r="G129" s="7">
        <v>62.0</v>
      </c>
      <c r="H129" s="7">
        <v>86.0</v>
      </c>
      <c r="I129" s="7">
        <v>0.0</v>
      </c>
      <c r="J129" s="7" t="s">
        <v>128</v>
      </c>
      <c r="K129" s="7" t="b">
        <v>1</v>
      </c>
      <c r="L129" s="2">
        <v>13.583</v>
      </c>
      <c r="M129" s="9">
        <v>0.5659722222222222</v>
      </c>
      <c r="N129" s="7">
        <v>13.583</v>
      </c>
      <c r="O129" s="15">
        <v>0.5659722222222222</v>
      </c>
      <c r="P129" s="7">
        <v>2.0</v>
      </c>
      <c r="Q129" s="7">
        <v>0.0</v>
      </c>
      <c r="R129" s="7">
        <v>0.0</v>
      </c>
      <c r="S129" s="7">
        <v>0.0</v>
      </c>
      <c r="T129" s="7">
        <v>0.0</v>
      </c>
      <c r="U129" s="7">
        <v>2.0</v>
      </c>
      <c r="V129" s="7">
        <v>2.0</v>
      </c>
      <c r="W129" s="7">
        <v>0.0</v>
      </c>
      <c r="X129" s="7">
        <v>0.0</v>
      </c>
      <c r="AA129" s="7">
        <v>1.0</v>
      </c>
      <c r="AC129" s="7">
        <v>1.1364</v>
      </c>
      <c r="AD129" s="7">
        <v>1.0</v>
      </c>
      <c r="AG129" s="7">
        <v>1.0</v>
      </c>
      <c r="AH129" s="7">
        <v>3.0</v>
      </c>
      <c r="AI129" s="7">
        <v>2.0</v>
      </c>
      <c r="AJ129" s="7">
        <v>2.0</v>
      </c>
      <c r="AK129" s="7">
        <v>1.0</v>
      </c>
      <c r="AL129" s="7">
        <v>1.0</v>
      </c>
      <c r="AM129" s="7">
        <v>0.051</v>
      </c>
      <c r="AN129" s="7">
        <v>0.0</v>
      </c>
      <c r="AO129" s="7">
        <v>1.0</v>
      </c>
      <c r="AP129" s="7">
        <v>0.111</v>
      </c>
      <c r="AQ129" s="7">
        <v>0.0862</v>
      </c>
      <c r="AR129" s="7">
        <v>0.46</v>
      </c>
      <c r="AS129" s="7">
        <v>0.86</v>
      </c>
      <c r="AU129" s="7">
        <v>199.933</v>
      </c>
      <c r="AV129" s="7">
        <v>68.0</v>
      </c>
      <c r="AW129" s="7">
        <v>28.0</v>
      </c>
      <c r="AX129" s="7">
        <v>18.0</v>
      </c>
      <c r="AY129" s="7">
        <v>5.3</v>
      </c>
      <c r="AZ129" s="7">
        <v>5.3</v>
      </c>
      <c r="BA129" s="7">
        <v>2.65</v>
      </c>
      <c r="BB129" s="7">
        <v>5.3</v>
      </c>
      <c r="BC129" s="7">
        <v>2.65</v>
      </c>
      <c r="BD129" s="7">
        <v>0.0</v>
      </c>
      <c r="BE129" s="7">
        <v>7.95</v>
      </c>
      <c r="BF129" s="7" t="s">
        <v>73</v>
      </c>
      <c r="BG129" s="10"/>
      <c r="BH129" s="12"/>
      <c r="BI129" s="12"/>
      <c r="BJ129" s="12">
        <f t="shared" si="1"/>
        <v>0.6944444444</v>
      </c>
      <c r="BK129" s="12" t="str">
        <f t="shared" si="2"/>
        <v/>
      </c>
      <c r="BL129" s="12" t="str">
        <f t="shared" si="3"/>
        <v/>
      </c>
      <c r="BM129" s="13">
        <f t="shared" si="4"/>
        <v>0</v>
      </c>
      <c r="BN129" s="13">
        <f t="shared" si="5"/>
        <v>0</v>
      </c>
      <c r="BO129" s="12">
        <f t="shared" si="6"/>
        <v>1</v>
      </c>
      <c r="BP129" s="14">
        <f t="shared" si="7"/>
        <v>0.5</v>
      </c>
    </row>
    <row r="130">
      <c r="A130" s="7" t="s">
        <v>174</v>
      </c>
      <c r="B130" s="7" t="s">
        <v>175</v>
      </c>
      <c r="C130" s="8">
        <v>46187.0</v>
      </c>
      <c r="D130" s="7" t="s">
        <v>176</v>
      </c>
      <c r="E130" s="7" t="s">
        <v>126</v>
      </c>
      <c r="F130" s="7" t="s">
        <v>148</v>
      </c>
      <c r="G130" s="7">
        <v>62.0</v>
      </c>
      <c r="H130" s="7">
        <v>86.0</v>
      </c>
      <c r="I130" s="7">
        <v>1.0</v>
      </c>
      <c r="J130" s="7" t="s">
        <v>129</v>
      </c>
      <c r="K130" s="7" t="b">
        <v>1</v>
      </c>
      <c r="L130" s="2">
        <v>25.183</v>
      </c>
      <c r="M130" s="9">
        <v>1.0493055555555555</v>
      </c>
      <c r="N130" s="7">
        <v>25.183</v>
      </c>
      <c r="O130" s="9">
        <v>1.0493055555555555</v>
      </c>
      <c r="P130" s="7">
        <v>4.0</v>
      </c>
      <c r="Q130" s="7">
        <v>2.0</v>
      </c>
      <c r="R130" s="7">
        <v>4.0</v>
      </c>
      <c r="S130" s="7">
        <v>0.0</v>
      </c>
      <c r="T130" s="7">
        <v>5.0</v>
      </c>
      <c r="U130" s="7">
        <v>0.0</v>
      </c>
      <c r="V130" s="7">
        <v>0.0</v>
      </c>
      <c r="W130" s="7">
        <v>2.0</v>
      </c>
      <c r="X130" s="7">
        <v>9.0</v>
      </c>
      <c r="Y130" s="7">
        <v>0.5</v>
      </c>
      <c r="Z130" s="7">
        <v>0.0</v>
      </c>
      <c r="AB130" s="7">
        <v>0.2222</v>
      </c>
      <c r="AC130" s="7">
        <v>0.2222</v>
      </c>
      <c r="AD130" s="7">
        <v>0.0</v>
      </c>
      <c r="AE130" s="7">
        <v>0.444</v>
      </c>
      <c r="AF130" s="7">
        <v>0.556</v>
      </c>
      <c r="AG130" s="7">
        <v>0.0</v>
      </c>
      <c r="AH130" s="7">
        <v>1.0</v>
      </c>
      <c r="AI130" s="7">
        <v>3.0</v>
      </c>
      <c r="AJ130" s="7">
        <v>3.0</v>
      </c>
      <c r="AK130" s="7">
        <v>2.0</v>
      </c>
      <c r="AL130" s="7">
        <v>1.0</v>
      </c>
      <c r="AM130" s="7">
        <v>0.051</v>
      </c>
      <c r="AN130" s="7">
        <v>0.0</v>
      </c>
      <c r="AO130" s="7">
        <v>2.0</v>
      </c>
      <c r="AP130" s="7">
        <v>0.194</v>
      </c>
      <c r="AQ130" s="7">
        <v>0.1938</v>
      </c>
      <c r="AR130" s="7">
        <v>0.65</v>
      </c>
      <c r="AS130" s="7">
        <v>1.1</v>
      </c>
      <c r="AU130" s="7">
        <v>199.933</v>
      </c>
      <c r="AV130" s="7">
        <v>68.0</v>
      </c>
      <c r="AW130" s="7">
        <v>28.0</v>
      </c>
      <c r="AX130" s="7">
        <v>18.0</v>
      </c>
      <c r="AY130" s="7">
        <v>5.72</v>
      </c>
      <c r="AZ130" s="7">
        <v>4.29</v>
      </c>
      <c r="BA130" s="7">
        <v>0.0</v>
      </c>
      <c r="BB130" s="7">
        <v>4.29</v>
      </c>
      <c r="BC130" s="7">
        <v>2.86</v>
      </c>
      <c r="BD130" s="7">
        <v>0.0</v>
      </c>
      <c r="BE130" s="7">
        <v>1.43</v>
      </c>
      <c r="BF130" s="7" t="s">
        <v>79</v>
      </c>
      <c r="BG130" s="10"/>
      <c r="BH130" s="12"/>
      <c r="BI130" s="12"/>
      <c r="BJ130" s="12">
        <f t="shared" si="1"/>
        <v>0.25</v>
      </c>
      <c r="BK130" s="12">
        <f t="shared" si="2"/>
        <v>0</v>
      </c>
      <c r="BL130" s="12">
        <f t="shared" si="3"/>
        <v>0.4444444444</v>
      </c>
      <c r="BM130" s="13">
        <f t="shared" si="4"/>
        <v>1</v>
      </c>
      <c r="BN130" s="13">
        <f t="shared" si="5"/>
        <v>0</v>
      </c>
      <c r="BO130" s="12">
        <f t="shared" si="6"/>
        <v>0</v>
      </c>
      <c r="BP130" s="14">
        <f t="shared" si="7"/>
        <v>0</v>
      </c>
    </row>
    <row r="131">
      <c r="A131" s="7" t="s">
        <v>174</v>
      </c>
      <c r="B131" s="7" t="s">
        <v>175</v>
      </c>
      <c r="C131" s="8">
        <v>46187.0</v>
      </c>
      <c r="D131" s="7" t="s">
        <v>176</v>
      </c>
      <c r="E131" s="7" t="s">
        <v>126</v>
      </c>
      <c r="F131" s="7" t="s">
        <v>148</v>
      </c>
      <c r="G131" s="7">
        <v>62.0</v>
      </c>
      <c r="H131" s="7">
        <v>86.0</v>
      </c>
      <c r="I131" s="7">
        <v>5.0</v>
      </c>
      <c r="J131" s="7" t="s">
        <v>130</v>
      </c>
      <c r="K131" s="7" t="b">
        <v>0</v>
      </c>
      <c r="L131" s="2">
        <v>22.983</v>
      </c>
      <c r="M131" s="9">
        <v>0.9576388888888889</v>
      </c>
      <c r="N131" s="7">
        <v>22.983</v>
      </c>
      <c r="O131" s="15">
        <v>0.9576388888888889</v>
      </c>
      <c r="P131" s="7">
        <v>4.0</v>
      </c>
      <c r="Q131" s="7">
        <v>1.0</v>
      </c>
      <c r="R131" s="7">
        <v>2.0</v>
      </c>
      <c r="S131" s="7">
        <v>0.0</v>
      </c>
      <c r="T131" s="7">
        <v>1.0</v>
      </c>
      <c r="U131" s="7">
        <v>2.0</v>
      </c>
      <c r="V131" s="7">
        <v>2.0</v>
      </c>
      <c r="W131" s="7">
        <v>1.0</v>
      </c>
      <c r="X131" s="7">
        <v>3.0</v>
      </c>
      <c r="Y131" s="7">
        <v>0.5</v>
      </c>
      <c r="Z131" s="7">
        <v>0.0</v>
      </c>
      <c r="AA131" s="7">
        <v>1.0</v>
      </c>
      <c r="AB131" s="7">
        <v>0.3333</v>
      </c>
      <c r="AC131" s="7">
        <v>0.5155</v>
      </c>
      <c r="AD131" s="7">
        <v>1.0</v>
      </c>
      <c r="AE131" s="7">
        <v>0.667</v>
      </c>
      <c r="AF131" s="7">
        <v>0.333</v>
      </c>
      <c r="AG131" s="7">
        <v>1.0</v>
      </c>
      <c r="AH131" s="7">
        <v>0.0</v>
      </c>
      <c r="AI131" s="7">
        <v>0.0</v>
      </c>
      <c r="AJ131" s="7">
        <v>8.0</v>
      </c>
      <c r="AK131" s="7">
        <v>5.0</v>
      </c>
      <c r="AL131" s="7">
        <v>3.0</v>
      </c>
      <c r="AM131" s="7">
        <v>0.148</v>
      </c>
      <c r="AN131" s="7">
        <v>2.0</v>
      </c>
      <c r="AO131" s="7">
        <v>2.0</v>
      </c>
      <c r="AP131" s="7">
        <v>0.086</v>
      </c>
      <c r="AQ131" s="7">
        <v>0.0687</v>
      </c>
      <c r="AR131" s="7">
        <v>1.09</v>
      </c>
      <c r="AS131" s="7">
        <v>1.09</v>
      </c>
      <c r="AU131" s="7">
        <v>199.933</v>
      </c>
      <c r="AV131" s="7">
        <v>68.0</v>
      </c>
      <c r="AW131" s="7">
        <v>28.0</v>
      </c>
      <c r="AX131" s="7">
        <v>18.0</v>
      </c>
      <c r="AY131" s="7">
        <v>6.27</v>
      </c>
      <c r="AZ131" s="7">
        <v>12.53</v>
      </c>
      <c r="BA131" s="7">
        <v>1.57</v>
      </c>
      <c r="BB131" s="7">
        <v>0.0</v>
      </c>
      <c r="BC131" s="7">
        <v>3.13</v>
      </c>
      <c r="BD131" s="7">
        <v>3.13</v>
      </c>
      <c r="BE131" s="7">
        <v>0.0</v>
      </c>
      <c r="BF131" s="7" t="s">
        <v>86</v>
      </c>
      <c r="BG131" s="10"/>
      <c r="BH131" s="12"/>
      <c r="BI131" s="12"/>
      <c r="BJ131" s="12">
        <f t="shared" si="1"/>
        <v>0</v>
      </c>
      <c r="BK131" s="12">
        <f t="shared" si="2"/>
        <v>0.6666666667</v>
      </c>
      <c r="BL131" s="12">
        <f t="shared" si="3"/>
        <v>1.333333333</v>
      </c>
      <c r="BM131" s="13">
        <f t="shared" si="4"/>
        <v>0.5</v>
      </c>
      <c r="BN131" s="13">
        <f t="shared" si="5"/>
        <v>0</v>
      </c>
      <c r="BO131" s="12">
        <f t="shared" si="6"/>
        <v>0.5</v>
      </c>
      <c r="BP131" s="14" t="str">
        <f t="shared" si="7"/>
        <v/>
      </c>
    </row>
    <row r="132">
      <c r="A132" s="7" t="s">
        <v>174</v>
      </c>
      <c r="B132" s="7" t="s">
        <v>175</v>
      </c>
      <c r="C132" s="8">
        <v>46187.0</v>
      </c>
      <c r="D132" s="7" t="s">
        <v>176</v>
      </c>
      <c r="E132" s="7" t="s">
        <v>126</v>
      </c>
      <c r="F132" s="7" t="s">
        <v>148</v>
      </c>
      <c r="G132" s="7">
        <v>62.0</v>
      </c>
      <c r="H132" s="7">
        <v>86.0</v>
      </c>
      <c r="I132" s="7">
        <v>8.0</v>
      </c>
      <c r="J132" s="7" t="s">
        <v>131</v>
      </c>
      <c r="K132" s="7" t="b">
        <v>1</v>
      </c>
      <c r="L132" s="2">
        <v>17.467</v>
      </c>
      <c r="M132" s="9">
        <v>0.7277777777777777</v>
      </c>
      <c r="N132" s="7">
        <v>17.467</v>
      </c>
      <c r="O132" s="15">
        <v>0.7277777777777777</v>
      </c>
      <c r="P132" s="7">
        <v>0.0</v>
      </c>
      <c r="Q132" s="7">
        <v>0.0</v>
      </c>
      <c r="R132" s="7">
        <v>0.0</v>
      </c>
      <c r="S132" s="7">
        <v>0.0</v>
      </c>
      <c r="T132" s="7">
        <v>2.0</v>
      </c>
      <c r="U132" s="7">
        <v>0.0</v>
      </c>
      <c r="V132" s="7">
        <v>2.0</v>
      </c>
      <c r="W132" s="7">
        <v>0.0</v>
      </c>
      <c r="X132" s="7">
        <v>2.0</v>
      </c>
      <c r="Z132" s="7">
        <v>0.0</v>
      </c>
      <c r="AA132" s="7">
        <v>0.0</v>
      </c>
      <c r="AB132" s="7">
        <v>0.0</v>
      </c>
      <c r="AC132" s="7">
        <v>0.0</v>
      </c>
      <c r="AD132" s="7">
        <v>1.0</v>
      </c>
      <c r="AE132" s="7">
        <v>0.0</v>
      </c>
      <c r="AF132" s="7">
        <v>1.0</v>
      </c>
      <c r="AG132" s="7">
        <v>0.0</v>
      </c>
      <c r="AH132" s="7">
        <v>2.0</v>
      </c>
      <c r="AI132" s="7">
        <v>1.0</v>
      </c>
      <c r="AJ132" s="7">
        <v>5.0</v>
      </c>
      <c r="AK132" s="7">
        <v>3.0</v>
      </c>
      <c r="AL132" s="7">
        <v>2.0</v>
      </c>
      <c r="AM132" s="7">
        <v>0.104</v>
      </c>
      <c r="AN132" s="7">
        <v>1.0</v>
      </c>
      <c r="AO132" s="7">
        <v>0.0</v>
      </c>
      <c r="AP132" s="7">
        <v>0.109</v>
      </c>
      <c r="AQ132" s="7">
        <v>0.0903</v>
      </c>
      <c r="AR132" s="7">
        <v>0.4</v>
      </c>
      <c r="AS132" s="7">
        <v>1.0</v>
      </c>
      <c r="AU132" s="7">
        <v>199.933</v>
      </c>
      <c r="AV132" s="7">
        <v>68.0</v>
      </c>
      <c r="AW132" s="7">
        <v>28.0</v>
      </c>
      <c r="AX132" s="7">
        <v>18.0</v>
      </c>
      <c r="AY132" s="7">
        <v>0.0</v>
      </c>
      <c r="AZ132" s="7">
        <v>10.31</v>
      </c>
      <c r="BA132" s="7">
        <v>0.0</v>
      </c>
      <c r="BB132" s="7">
        <v>2.06</v>
      </c>
      <c r="BC132" s="7">
        <v>0.0</v>
      </c>
      <c r="BD132" s="7">
        <v>2.06</v>
      </c>
      <c r="BE132" s="7">
        <v>4.12</v>
      </c>
      <c r="BG132" s="10"/>
      <c r="BH132" s="12"/>
      <c r="BI132" s="12"/>
      <c r="BJ132" s="12">
        <f t="shared" si="1"/>
        <v>0.2577319588</v>
      </c>
      <c r="BK132" s="12">
        <f t="shared" si="2"/>
        <v>1</v>
      </c>
      <c r="BL132" s="12">
        <f t="shared" si="3"/>
        <v>0</v>
      </c>
      <c r="BM132" s="13" t="str">
        <f t="shared" si="4"/>
        <v/>
      </c>
      <c r="BN132" s="13" t="str">
        <f t="shared" si="5"/>
        <v/>
      </c>
      <c r="BO132" s="12" t="str">
        <f t="shared" si="6"/>
        <v/>
      </c>
      <c r="BP132" s="14">
        <f t="shared" si="7"/>
        <v>0</v>
      </c>
    </row>
    <row r="133">
      <c r="A133" s="7" t="s">
        <v>174</v>
      </c>
      <c r="B133" s="7" t="s">
        <v>175</v>
      </c>
      <c r="C133" s="8">
        <v>46187.0</v>
      </c>
      <c r="D133" s="7" t="s">
        <v>176</v>
      </c>
      <c r="E133" s="7" t="s">
        <v>126</v>
      </c>
      <c r="F133" s="7" t="s">
        <v>148</v>
      </c>
      <c r="G133" s="7">
        <v>62.0</v>
      </c>
      <c r="H133" s="7">
        <v>86.0</v>
      </c>
      <c r="I133" s="7">
        <v>10.0</v>
      </c>
      <c r="J133" s="7" t="s">
        <v>132</v>
      </c>
      <c r="K133" s="7" t="b">
        <v>0</v>
      </c>
      <c r="L133" s="2">
        <v>27.767</v>
      </c>
      <c r="M133" s="9">
        <v>1.1569444444444446</v>
      </c>
      <c r="N133" s="7">
        <v>27.767</v>
      </c>
      <c r="O133" s="9">
        <v>1.1569444444444446</v>
      </c>
      <c r="P133" s="7">
        <v>23.0</v>
      </c>
      <c r="Q133" s="7">
        <v>7.0</v>
      </c>
      <c r="R133" s="7">
        <v>15.0</v>
      </c>
      <c r="S133" s="7">
        <v>1.0</v>
      </c>
      <c r="T133" s="7">
        <v>4.0</v>
      </c>
      <c r="U133" s="7">
        <v>6.0</v>
      </c>
      <c r="V133" s="7">
        <v>7.0</v>
      </c>
      <c r="W133" s="7">
        <v>8.0</v>
      </c>
      <c r="X133" s="7">
        <v>19.0</v>
      </c>
      <c r="Y133" s="7">
        <v>0.4667</v>
      </c>
      <c r="Z133" s="7">
        <v>0.25</v>
      </c>
      <c r="AA133" s="7">
        <v>0.8571</v>
      </c>
      <c r="AB133" s="7">
        <v>0.4474</v>
      </c>
      <c r="AC133" s="7">
        <v>0.5208</v>
      </c>
      <c r="AD133" s="7">
        <v>2.0</v>
      </c>
      <c r="AE133" s="7">
        <v>0.789</v>
      </c>
      <c r="AF133" s="7">
        <v>0.211</v>
      </c>
      <c r="AG133" s="7">
        <v>0.0</v>
      </c>
      <c r="AH133" s="7">
        <v>4.0</v>
      </c>
      <c r="AI133" s="7">
        <v>4.0</v>
      </c>
      <c r="AJ133" s="7">
        <v>4.0</v>
      </c>
      <c r="AK133" s="7">
        <v>2.0</v>
      </c>
      <c r="AL133" s="7">
        <v>2.0</v>
      </c>
      <c r="AM133" s="7">
        <v>0.063</v>
      </c>
      <c r="AN133" s="7">
        <v>2.0</v>
      </c>
      <c r="AO133" s="7">
        <v>3.0</v>
      </c>
      <c r="AP133" s="7">
        <v>0.471</v>
      </c>
      <c r="AQ133" s="7">
        <v>0.382</v>
      </c>
      <c r="AR133" s="7">
        <v>0.85</v>
      </c>
      <c r="AS133" s="7">
        <v>0.96</v>
      </c>
      <c r="AU133" s="7">
        <v>199.933</v>
      </c>
      <c r="AV133" s="7">
        <v>68.0</v>
      </c>
      <c r="AW133" s="7">
        <v>28.0</v>
      </c>
      <c r="AX133" s="7">
        <v>18.0</v>
      </c>
      <c r="AY133" s="7">
        <v>29.82</v>
      </c>
      <c r="AZ133" s="7">
        <v>5.19</v>
      </c>
      <c r="BA133" s="7">
        <v>0.0</v>
      </c>
      <c r="BB133" s="7">
        <v>5.19</v>
      </c>
      <c r="BC133" s="7">
        <v>3.89</v>
      </c>
      <c r="BD133" s="7">
        <v>2.59</v>
      </c>
      <c r="BE133" s="7">
        <v>5.19</v>
      </c>
      <c r="BF133" s="7" t="s">
        <v>76</v>
      </c>
      <c r="BG133" s="10"/>
      <c r="BH133" s="12"/>
      <c r="BI133" s="12"/>
      <c r="BJ133" s="12">
        <f t="shared" si="1"/>
        <v>0.1533742331</v>
      </c>
      <c r="BK133" s="12">
        <f t="shared" si="2"/>
        <v>0.3684210526</v>
      </c>
      <c r="BL133" s="12">
        <f t="shared" si="3"/>
        <v>1.210526316</v>
      </c>
      <c r="BM133" s="13">
        <f t="shared" si="4"/>
        <v>0.6086956522</v>
      </c>
      <c r="BN133" s="13">
        <f t="shared" si="5"/>
        <v>0.1304347826</v>
      </c>
      <c r="BO133" s="12">
        <f t="shared" si="6"/>
        <v>0.2608695652</v>
      </c>
      <c r="BP133" s="14">
        <f t="shared" si="7"/>
        <v>0</v>
      </c>
    </row>
    <row r="134">
      <c r="A134" s="7" t="s">
        <v>174</v>
      </c>
      <c r="B134" s="7" t="s">
        <v>175</v>
      </c>
      <c r="C134" s="8">
        <v>46187.0</v>
      </c>
      <c r="D134" s="7" t="s">
        <v>176</v>
      </c>
      <c r="E134" s="7" t="s">
        <v>126</v>
      </c>
      <c r="F134" s="7" t="s">
        <v>148</v>
      </c>
      <c r="G134" s="7">
        <v>62.0</v>
      </c>
      <c r="H134" s="7">
        <v>86.0</v>
      </c>
      <c r="I134" s="7">
        <v>11.0</v>
      </c>
      <c r="J134" s="7" t="s">
        <v>133</v>
      </c>
      <c r="K134" s="7" t="b">
        <v>0</v>
      </c>
      <c r="L134" s="2">
        <v>13.05</v>
      </c>
      <c r="M134" s="9">
        <v>0.54375</v>
      </c>
      <c r="N134" s="7">
        <v>13.05</v>
      </c>
      <c r="O134" s="15">
        <v>0.54375</v>
      </c>
      <c r="P134" s="7">
        <v>2.0</v>
      </c>
      <c r="Q134" s="7">
        <v>1.0</v>
      </c>
      <c r="R134" s="7">
        <v>2.0</v>
      </c>
      <c r="S134" s="7">
        <v>0.0</v>
      </c>
      <c r="T134" s="7">
        <v>1.0</v>
      </c>
      <c r="U134" s="7">
        <v>0.0</v>
      </c>
      <c r="V134" s="7">
        <v>0.0</v>
      </c>
      <c r="W134" s="7">
        <v>1.0</v>
      </c>
      <c r="X134" s="7">
        <v>3.0</v>
      </c>
      <c r="Y134" s="7">
        <v>0.5</v>
      </c>
      <c r="Z134" s="7">
        <v>0.0</v>
      </c>
      <c r="AB134" s="7">
        <v>0.3333</v>
      </c>
      <c r="AC134" s="7">
        <v>0.3333</v>
      </c>
      <c r="AD134" s="7">
        <v>0.0</v>
      </c>
      <c r="AE134" s="7">
        <v>0.667</v>
      </c>
      <c r="AF134" s="7">
        <v>0.333</v>
      </c>
      <c r="AG134" s="7">
        <v>0.0</v>
      </c>
      <c r="AH134" s="7">
        <v>2.0</v>
      </c>
      <c r="AI134" s="7">
        <v>0.0</v>
      </c>
      <c r="AJ134" s="7">
        <v>1.0</v>
      </c>
      <c r="AK134" s="7">
        <v>0.0</v>
      </c>
      <c r="AL134" s="7">
        <v>1.0</v>
      </c>
      <c r="AM134" s="7">
        <v>0.031</v>
      </c>
      <c r="AN134" s="7">
        <v>1.0</v>
      </c>
      <c r="AO134" s="7">
        <v>0.0</v>
      </c>
      <c r="AP134" s="7">
        <v>0.094</v>
      </c>
      <c r="AQ134" s="7">
        <v>0.0935</v>
      </c>
      <c r="AR134" s="7">
        <v>0.68</v>
      </c>
      <c r="AS134" s="7">
        <v>1.52</v>
      </c>
      <c r="AU134" s="7">
        <v>199.933</v>
      </c>
      <c r="AV134" s="7">
        <v>68.0</v>
      </c>
      <c r="AW134" s="7">
        <v>28.0</v>
      </c>
      <c r="AX134" s="7">
        <v>18.0</v>
      </c>
      <c r="AY134" s="7">
        <v>5.52</v>
      </c>
      <c r="AZ134" s="7">
        <v>2.76</v>
      </c>
      <c r="BA134" s="7">
        <v>0.0</v>
      </c>
      <c r="BB134" s="7">
        <v>0.0</v>
      </c>
      <c r="BC134" s="7">
        <v>0.0</v>
      </c>
      <c r="BD134" s="7">
        <v>2.76</v>
      </c>
      <c r="BE134" s="7">
        <v>5.52</v>
      </c>
      <c r="BF134" s="7" t="s">
        <v>79</v>
      </c>
      <c r="BG134" s="10"/>
      <c r="BH134" s="12"/>
      <c r="BI134" s="12"/>
      <c r="BJ134" s="12">
        <f t="shared" si="1"/>
        <v>0</v>
      </c>
      <c r="BK134" s="12">
        <f t="shared" si="2"/>
        <v>0</v>
      </c>
      <c r="BL134" s="12">
        <f t="shared" si="3"/>
        <v>0.6666666667</v>
      </c>
      <c r="BM134" s="13">
        <f t="shared" si="4"/>
        <v>1</v>
      </c>
      <c r="BN134" s="13">
        <f t="shared" si="5"/>
        <v>0</v>
      </c>
      <c r="BO134" s="12">
        <f t="shared" si="6"/>
        <v>0</v>
      </c>
      <c r="BP134" s="14" t="str">
        <f t="shared" si="7"/>
        <v/>
      </c>
    </row>
    <row r="135">
      <c r="A135" s="7" t="s">
        <v>174</v>
      </c>
      <c r="B135" s="7" t="s">
        <v>175</v>
      </c>
      <c r="C135" s="8">
        <v>46187.0</v>
      </c>
      <c r="D135" s="7" t="s">
        <v>176</v>
      </c>
      <c r="E135" s="7" t="s">
        <v>126</v>
      </c>
      <c r="F135" s="7" t="s">
        <v>148</v>
      </c>
      <c r="G135" s="7">
        <v>62.0</v>
      </c>
      <c r="H135" s="7">
        <v>86.0</v>
      </c>
      <c r="I135" s="7">
        <v>22.0</v>
      </c>
      <c r="J135" s="7" t="s">
        <v>134</v>
      </c>
      <c r="K135" s="7" t="b">
        <v>0</v>
      </c>
      <c r="L135" s="2">
        <v>16.383</v>
      </c>
      <c r="M135" s="9">
        <v>0.6826388888888889</v>
      </c>
      <c r="N135" s="7">
        <v>16.383</v>
      </c>
      <c r="O135" s="15">
        <v>0.6826388888888889</v>
      </c>
      <c r="P135" s="7">
        <v>6.0</v>
      </c>
      <c r="Q135" s="7">
        <v>2.0</v>
      </c>
      <c r="R135" s="7">
        <v>8.0</v>
      </c>
      <c r="S135" s="7">
        <v>0.0</v>
      </c>
      <c r="T135" s="7">
        <v>1.0</v>
      </c>
      <c r="U135" s="7">
        <v>2.0</v>
      </c>
      <c r="V135" s="7">
        <v>3.0</v>
      </c>
      <c r="W135" s="7">
        <v>2.0</v>
      </c>
      <c r="X135" s="7">
        <v>9.0</v>
      </c>
      <c r="Y135" s="7">
        <v>0.25</v>
      </c>
      <c r="Z135" s="7">
        <v>0.0</v>
      </c>
      <c r="AA135" s="7">
        <v>0.6667</v>
      </c>
      <c r="AB135" s="7">
        <v>0.2222</v>
      </c>
      <c r="AC135" s="7">
        <v>0.2907</v>
      </c>
      <c r="AD135" s="7">
        <v>0.0</v>
      </c>
      <c r="AE135" s="7">
        <v>0.889</v>
      </c>
      <c r="AF135" s="7">
        <v>0.111</v>
      </c>
      <c r="AG135" s="7">
        <v>1.0</v>
      </c>
      <c r="AH135" s="7">
        <v>4.0</v>
      </c>
      <c r="AI135" s="7">
        <v>2.0</v>
      </c>
      <c r="AJ135" s="7">
        <v>1.0</v>
      </c>
      <c r="AK135" s="7">
        <v>1.0</v>
      </c>
      <c r="AL135" s="7">
        <v>0.0</v>
      </c>
      <c r="AM135" s="7">
        <v>0.02</v>
      </c>
      <c r="AN135" s="7">
        <v>0.0</v>
      </c>
      <c r="AO135" s="7">
        <v>0.0</v>
      </c>
      <c r="AP135" s="7">
        <v>0.312</v>
      </c>
      <c r="AQ135" s="7">
        <v>0.3058</v>
      </c>
      <c r="AR135" s="7">
        <v>1.06</v>
      </c>
      <c r="AS135" s="7">
        <v>1.06</v>
      </c>
      <c r="AU135" s="7">
        <v>199.933</v>
      </c>
      <c r="AV135" s="7">
        <v>68.0</v>
      </c>
      <c r="AW135" s="7">
        <v>28.0</v>
      </c>
      <c r="AX135" s="7">
        <v>18.0</v>
      </c>
      <c r="AY135" s="7">
        <v>13.18</v>
      </c>
      <c r="AZ135" s="7">
        <v>2.2</v>
      </c>
      <c r="BA135" s="7">
        <v>2.2</v>
      </c>
      <c r="BB135" s="7">
        <v>4.39</v>
      </c>
      <c r="BC135" s="7">
        <v>0.0</v>
      </c>
      <c r="BD135" s="7">
        <v>0.0</v>
      </c>
      <c r="BE135" s="7">
        <v>8.79</v>
      </c>
      <c r="BF135" s="7" t="s">
        <v>86</v>
      </c>
      <c r="BG135" s="10"/>
      <c r="BH135" s="12"/>
      <c r="BI135" s="12"/>
      <c r="BJ135" s="12">
        <f t="shared" si="1"/>
        <v>0.1623376623</v>
      </c>
      <c r="BK135" s="12">
        <f t="shared" si="2"/>
        <v>0.3333333333</v>
      </c>
      <c r="BL135" s="12">
        <f t="shared" si="3"/>
        <v>0.6666666667</v>
      </c>
      <c r="BM135" s="13">
        <f t="shared" si="4"/>
        <v>0.6666666667</v>
      </c>
      <c r="BN135" s="13">
        <f t="shared" si="5"/>
        <v>0</v>
      </c>
      <c r="BO135" s="12">
        <f t="shared" si="6"/>
        <v>0.3333333333</v>
      </c>
      <c r="BP135" s="14">
        <f t="shared" si="7"/>
        <v>0.5</v>
      </c>
    </row>
    <row r="136">
      <c r="A136" s="7" t="s">
        <v>174</v>
      </c>
      <c r="B136" s="7" t="s">
        <v>175</v>
      </c>
      <c r="C136" s="8">
        <v>46187.0</v>
      </c>
      <c r="D136" s="7" t="s">
        <v>176</v>
      </c>
      <c r="E136" s="7" t="s">
        <v>126</v>
      </c>
      <c r="F136" s="7" t="s">
        <v>148</v>
      </c>
      <c r="G136" s="7">
        <v>62.0</v>
      </c>
      <c r="H136" s="7">
        <v>86.0</v>
      </c>
      <c r="I136" s="7">
        <v>24.0</v>
      </c>
      <c r="J136" s="7" t="s">
        <v>135</v>
      </c>
      <c r="K136" s="7" t="b">
        <v>1</v>
      </c>
      <c r="L136" s="2">
        <v>19.933</v>
      </c>
      <c r="M136" s="9">
        <v>0.8305555555555556</v>
      </c>
      <c r="N136" s="7">
        <v>19.933</v>
      </c>
      <c r="O136" s="15">
        <v>0.8305555555555556</v>
      </c>
      <c r="P136" s="7">
        <v>4.0</v>
      </c>
      <c r="Q136" s="7">
        <v>0.0</v>
      </c>
      <c r="R136" s="7">
        <v>4.0</v>
      </c>
      <c r="S136" s="7">
        <v>1.0</v>
      </c>
      <c r="T136" s="7">
        <v>5.0</v>
      </c>
      <c r="U136" s="7">
        <v>1.0</v>
      </c>
      <c r="V136" s="7">
        <v>2.0</v>
      </c>
      <c r="W136" s="7">
        <v>1.0</v>
      </c>
      <c r="X136" s="7">
        <v>9.0</v>
      </c>
      <c r="Y136" s="7">
        <v>0.0</v>
      </c>
      <c r="Z136" s="7">
        <v>0.2</v>
      </c>
      <c r="AA136" s="7">
        <v>0.5</v>
      </c>
      <c r="AB136" s="7">
        <v>0.1667</v>
      </c>
      <c r="AC136" s="7">
        <v>0.2024</v>
      </c>
      <c r="AD136" s="7">
        <v>1.0</v>
      </c>
      <c r="AE136" s="7">
        <v>0.444</v>
      </c>
      <c r="AF136" s="7">
        <v>0.556</v>
      </c>
      <c r="AG136" s="7">
        <v>0.0</v>
      </c>
      <c r="AH136" s="7">
        <v>1.0</v>
      </c>
      <c r="AI136" s="7">
        <v>1.0</v>
      </c>
      <c r="AJ136" s="7">
        <v>0.0</v>
      </c>
      <c r="AK136" s="7">
        <v>0.0</v>
      </c>
      <c r="AL136" s="7">
        <v>0.0</v>
      </c>
      <c r="AM136" s="7">
        <v>0.0</v>
      </c>
      <c r="AN136" s="7">
        <v>0.0</v>
      </c>
      <c r="AO136" s="7">
        <v>0.0</v>
      </c>
      <c r="AP136" s="7">
        <v>0.245</v>
      </c>
      <c r="AQ136" s="7">
        <v>0.222</v>
      </c>
      <c r="AR136" s="7">
        <v>0.77</v>
      </c>
      <c r="AS136" s="7">
        <v>1.11</v>
      </c>
      <c r="AU136" s="7">
        <v>199.933</v>
      </c>
      <c r="AV136" s="7">
        <v>68.0</v>
      </c>
      <c r="AW136" s="7">
        <v>28.0</v>
      </c>
      <c r="AX136" s="7">
        <v>18.0</v>
      </c>
      <c r="AY136" s="7">
        <v>7.22</v>
      </c>
      <c r="AZ136" s="7">
        <v>0.0</v>
      </c>
      <c r="BA136" s="7">
        <v>0.0</v>
      </c>
      <c r="BB136" s="7">
        <v>1.81</v>
      </c>
      <c r="BC136" s="7">
        <v>0.0</v>
      </c>
      <c r="BD136" s="7">
        <v>0.0</v>
      </c>
      <c r="BE136" s="7">
        <v>1.81</v>
      </c>
      <c r="BF136" s="7" t="s">
        <v>88</v>
      </c>
      <c r="BG136" s="10"/>
      <c r="BH136" s="12"/>
      <c r="BI136" s="12"/>
      <c r="BJ136" s="12">
        <f t="shared" si="1"/>
        <v>0.09191176471</v>
      </c>
      <c r="BK136" s="12">
        <f t="shared" si="2"/>
        <v>0.2222222222</v>
      </c>
      <c r="BL136" s="12">
        <f t="shared" si="3"/>
        <v>0.4444444444</v>
      </c>
      <c r="BM136" s="13">
        <f t="shared" si="4"/>
        <v>0</v>
      </c>
      <c r="BN136" s="13">
        <f t="shared" si="5"/>
        <v>0.75</v>
      </c>
      <c r="BO136" s="12">
        <f t="shared" si="6"/>
        <v>0.25</v>
      </c>
      <c r="BP136" s="14">
        <f t="shared" si="7"/>
        <v>0</v>
      </c>
    </row>
    <row r="137">
      <c r="A137" s="7" t="s">
        <v>174</v>
      </c>
      <c r="B137" s="7" t="s">
        <v>175</v>
      </c>
      <c r="C137" s="8">
        <v>46187.0</v>
      </c>
      <c r="D137" s="7" t="s">
        <v>176</v>
      </c>
      <c r="E137" s="7" t="s">
        <v>126</v>
      </c>
      <c r="F137" s="7" t="s">
        <v>148</v>
      </c>
      <c r="G137" s="7">
        <v>62.0</v>
      </c>
      <c r="H137" s="7">
        <v>86.0</v>
      </c>
      <c r="I137" s="7">
        <v>31.0</v>
      </c>
      <c r="J137" s="7" t="s">
        <v>136</v>
      </c>
      <c r="K137" s="7" t="b">
        <v>0</v>
      </c>
      <c r="L137" s="2">
        <v>24.017</v>
      </c>
      <c r="M137" s="9">
        <v>1.0006944444444446</v>
      </c>
      <c r="N137" s="7">
        <v>24.017</v>
      </c>
      <c r="O137" s="9">
        <v>1.0006944444444446</v>
      </c>
      <c r="P137" s="7">
        <v>15.0</v>
      </c>
      <c r="Q137" s="7">
        <v>2.0</v>
      </c>
      <c r="R137" s="7">
        <v>5.0</v>
      </c>
      <c r="S137" s="7">
        <v>1.0</v>
      </c>
      <c r="T137" s="7">
        <v>3.0</v>
      </c>
      <c r="U137" s="7">
        <v>8.0</v>
      </c>
      <c r="V137" s="7">
        <v>10.0</v>
      </c>
      <c r="W137" s="7">
        <v>3.0</v>
      </c>
      <c r="X137" s="7">
        <v>8.0</v>
      </c>
      <c r="Y137" s="7">
        <v>0.4</v>
      </c>
      <c r="Z137" s="7">
        <v>0.3333</v>
      </c>
      <c r="AA137" s="7">
        <v>0.8</v>
      </c>
      <c r="AB137" s="7">
        <v>0.4375</v>
      </c>
      <c r="AC137" s="7">
        <v>0.6048</v>
      </c>
      <c r="AD137" s="7">
        <v>2.0</v>
      </c>
      <c r="AE137" s="7">
        <v>0.625</v>
      </c>
      <c r="AF137" s="7">
        <v>0.375</v>
      </c>
      <c r="AG137" s="7">
        <v>1.0</v>
      </c>
      <c r="AH137" s="7">
        <v>1.0</v>
      </c>
      <c r="AI137" s="7">
        <v>1.0</v>
      </c>
      <c r="AJ137" s="7">
        <v>3.0</v>
      </c>
      <c r="AK137" s="7">
        <v>2.0</v>
      </c>
      <c r="AL137" s="7">
        <v>1.0</v>
      </c>
      <c r="AM137" s="7">
        <v>0.053</v>
      </c>
      <c r="AN137" s="7">
        <v>0.0</v>
      </c>
      <c r="AO137" s="7">
        <v>2.0</v>
      </c>
      <c r="AP137" s="7">
        <v>0.297</v>
      </c>
      <c r="AQ137" s="7">
        <v>0.2269</v>
      </c>
      <c r="AR137" s="7">
        <v>1.09</v>
      </c>
      <c r="AS137" s="7">
        <v>1.17</v>
      </c>
      <c r="AU137" s="7">
        <v>199.933</v>
      </c>
      <c r="AV137" s="7">
        <v>68.0</v>
      </c>
      <c r="AW137" s="7">
        <v>28.0</v>
      </c>
      <c r="AX137" s="7">
        <v>18.0</v>
      </c>
      <c r="AY137" s="7">
        <v>22.48</v>
      </c>
      <c r="AZ137" s="7">
        <v>4.5</v>
      </c>
      <c r="BA137" s="7">
        <v>1.5</v>
      </c>
      <c r="BB137" s="7">
        <v>1.5</v>
      </c>
      <c r="BC137" s="7">
        <v>3.0</v>
      </c>
      <c r="BD137" s="7">
        <v>0.0</v>
      </c>
      <c r="BE137" s="7">
        <v>1.5</v>
      </c>
      <c r="BF137" s="7" t="s">
        <v>76</v>
      </c>
      <c r="BG137" s="10"/>
      <c r="BH137" s="12"/>
      <c r="BI137" s="12"/>
      <c r="BJ137" s="12">
        <f t="shared" si="1"/>
        <v>0.07462686567</v>
      </c>
      <c r="BK137" s="12">
        <f t="shared" si="2"/>
        <v>1.25</v>
      </c>
      <c r="BL137" s="12">
        <f t="shared" si="3"/>
        <v>1.875</v>
      </c>
      <c r="BM137" s="13">
        <f t="shared" si="4"/>
        <v>0.2666666667</v>
      </c>
      <c r="BN137" s="13">
        <f t="shared" si="5"/>
        <v>0.2</v>
      </c>
      <c r="BO137" s="12">
        <f t="shared" si="6"/>
        <v>0.5333333333</v>
      </c>
      <c r="BP137" s="14">
        <f t="shared" si="7"/>
        <v>1</v>
      </c>
    </row>
    <row r="138">
      <c r="A138" s="7" t="s">
        <v>174</v>
      </c>
      <c r="B138" s="7" t="s">
        <v>175</v>
      </c>
      <c r="C138" s="8">
        <v>46187.0</v>
      </c>
      <c r="D138" s="7" t="s">
        <v>176</v>
      </c>
      <c r="E138" s="7" t="s">
        <v>126</v>
      </c>
      <c r="F138" s="7" t="s">
        <v>148</v>
      </c>
      <c r="G138" s="7">
        <v>62.0</v>
      </c>
      <c r="H138" s="7">
        <v>86.0</v>
      </c>
      <c r="I138" s="7">
        <v>34.0</v>
      </c>
      <c r="J138" s="7" t="s">
        <v>137</v>
      </c>
      <c r="K138" s="7" t="b">
        <v>1</v>
      </c>
      <c r="L138" s="2">
        <v>19.567</v>
      </c>
      <c r="M138" s="9">
        <v>0.8152777777777778</v>
      </c>
      <c r="N138" s="7">
        <v>19.567</v>
      </c>
      <c r="O138" s="15">
        <v>0.8152777777777778</v>
      </c>
      <c r="P138" s="7">
        <v>2.0</v>
      </c>
      <c r="Q138" s="7">
        <v>1.0</v>
      </c>
      <c r="R138" s="7">
        <v>3.0</v>
      </c>
      <c r="S138" s="7">
        <v>0.0</v>
      </c>
      <c r="T138" s="7">
        <v>3.0</v>
      </c>
      <c r="U138" s="7">
        <v>0.0</v>
      </c>
      <c r="V138" s="7">
        <v>0.0</v>
      </c>
      <c r="W138" s="7">
        <v>1.0</v>
      </c>
      <c r="X138" s="7">
        <v>6.0</v>
      </c>
      <c r="Y138" s="7">
        <v>0.3333</v>
      </c>
      <c r="Z138" s="7">
        <v>0.0</v>
      </c>
      <c r="AB138" s="7">
        <v>0.1667</v>
      </c>
      <c r="AC138" s="7">
        <v>0.1667</v>
      </c>
      <c r="AD138" s="7">
        <v>0.0</v>
      </c>
      <c r="AE138" s="7">
        <v>0.5</v>
      </c>
      <c r="AF138" s="7">
        <v>0.5</v>
      </c>
      <c r="AG138" s="7">
        <v>0.0</v>
      </c>
      <c r="AH138" s="7">
        <v>2.0</v>
      </c>
      <c r="AI138" s="7">
        <v>2.0</v>
      </c>
      <c r="AJ138" s="7">
        <v>1.0</v>
      </c>
      <c r="AK138" s="7">
        <v>0.0</v>
      </c>
      <c r="AL138" s="7">
        <v>1.0</v>
      </c>
      <c r="AM138" s="7">
        <v>0.022</v>
      </c>
      <c r="AN138" s="7">
        <v>0.0</v>
      </c>
      <c r="AO138" s="7">
        <v>1.0</v>
      </c>
      <c r="AP138" s="7">
        <v>0.167</v>
      </c>
      <c r="AQ138" s="7">
        <v>0.1663</v>
      </c>
      <c r="AR138" s="7">
        <v>0.62</v>
      </c>
      <c r="AS138" s="7">
        <v>0.98</v>
      </c>
      <c r="AU138" s="7">
        <v>199.933</v>
      </c>
      <c r="AV138" s="7">
        <v>68.0</v>
      </c>
      <c r="AW138" s="7">
        <v>28.0</v>
      </c>
      <c r="AX138" s="7">
        <v>18.0</v>
      </c>
      <c r="AY138" s="7">
        <v>3.68</v>
      </c>
      <c r="AZ138" s="7">
        <v>1.84</v>
      </c>
      <c r="BA138" s="7">
        <v>0.0</v>
      </c>
      <c r="BB138" s="7">
        <v>3.68</v>
      </c>
      <c r="BC138" s="7">
        <v>1.84</v>
      </c>
      <c r="BD138" s="7">
        <v>0.0</v>
      </c>
      <c r="BE138" s="7">
        <v>3.68</v>
      </c>
      <c r="BF138" s="7" t="s">
        <v>79</v>
      </c>
      <c r="BG138" s="10"/>
      <c r="BH138" s="12"/>
      <c r="BI138" s="12"/>
      <c r="BJ138" s="12">
        <f t="shared" si="1"/>
        <v>0.25</v>
      </c>
      <c r="BK138" s="12">
        <f t="shared" si="2"/>
        <v>0</v>
      </c>
      <c r="BL138" s="12">
        <f t="shared" si="3"/>
        <v>0.3333333333</v>
      </c>
      <c r="BM138" s="13">
        <f t="shared" si="4"/>
        <v>1</v>
      </c>
      <c r="BN138" s="13">
        <f t="shared" si="5"/>
        <v>0</v>
      </c>
      <c r="BO138" s="12">
        <f t="shared" si="6"/>
        <v>0</v>
      </c>
      <c r="BP138" s="14">
        <f t="shared" si="7"/>
        <v>0</v>
      </c>
    </row>
    <row r="139">
      <c r="L139" s="16"/>
      <c r="M139" s="17"/>
      <c r="BG139" s="10"/>
      <c r="BH139" s="13"/>
      <c r="BI139" s="13"/>
      <c r="BJ139" s="13"/>
      <c r="BK139" s="13"/>
      <c r="BL139" s="13"/>
      <c r="BM139" s="13"/>
      <c r="BN139" s="13"/>
      <c r="BO139" s="13"/>
      <c r="BP139" s="18"/>
    </row>
    <row r="140">
      <c r="L140" s="16"/>
      <c r="M140" s="17"/>
      <c r="BG140" s="10"/>
      <c r="BH140" s="13"/>
      <c r="BI140" s="13"/>
      <c r="BJ140" s="13"/>
      <c r="BK140" s="13"/>
      <c r="BL140" s="13"/>
      <c r="BM140" s="13"/>
      <c r="BN140" s="13"/>
      <c r="BO140" s="13"/>
      <c r="BP140" s="18"/>
    </row>
    <row r="141">
      <c r="L141" s="16"/>
      <c r="M141" s="17"/>
      <c r="BG141" s="10"/>
      <c r="BH141" s="13"/>
      <c r="BI141" s="13"/>
      <c r="BJ141" s="13"/>
      <c r="BK141" s="13"/>
      <c r="BL141" s="13"/>
      <c r="BM141" s="13"/>
      <c r="BN141" s="13"/>
      <c r="BO141" s="13"/>
      <c r="BP141" s="18"/>
    </row>
    <row r="142">
      <c r="L142" s="16"/>
      <c r="M142" s="17"/>
      <c r="BG142" s="10"/>
      <c r="BH142" s="13"/>
      <c r="BI142" s="13"/>
      <c r="BJ142" s="13"/>
      <c r="BK142" s="13"/>
      <c r="BL142" s="13"/>
      <c r="BM142" s="13"/>
      <c r="BN142" s="13"/>
      <c r="BO142" s="13"/>
      <c r="BP142" s="18"/>
    </row>
    <row r="143">
      <c r="L143" s="16"/>
      <c r="M143" s="17"/>
      <c r="BG143" s="10"/>
      <c r="BH143" s="13"/>
      <c r="BI143" s="13"/>
      <c r="BJ143" s="13"/>
      <c r="BK143" s="13"/>
      <c r="BL143" s="13"/>
      <c r="BM143" s="13"/>
      <c r="BN143" s="13"/>
      <c r="BO143" s="13"/>
      <c r="BP143" s="18"/>
    </row>
    <row r="144">
      <c r="L144" s="16"/>
      <c r="M144" s="17"/>
      <c r="BG144" s="10"/>
      <c r="BH144" s="13"/>
      <c r="BI144" s="13"/>
      <c r="BJ144" s="13"/>
      <c r="BK144" s="13"/>
      <c r="BL144" s="13"/>
      <c r="BM144" s="13"/>
      <c r="BN144" s="13"/>
      <c r="BO144" s="13"/>
      <c r="BP144" s="18"/>
    </row>
    <row r="145">
      <c r="L145" s="16"/>
      <c r="M145" s="17"/>
      <c r="BG145" s="10"/>
      <c r="BH145" s="13"/>
      <c r="BI145" s="13"/>
      <c r="BJ145" s="13"/>
      <c r="BK145" s="13"/>
      <c r="BL145" s="13"/>
      <c r="BM145" s="13"/>
      <c r="BN145" s="13"/>
      <c r="BO145" s="13"/>
      <c r="BP145" s="18"/>
    </row>
    <row r="146">
      <c r="L146" s="16"/>
      <c r="M146" s="17"/>
      <c r="BG146" s="10"/>
      <c r="BH146" s="13"/>
      <c r="BI146" s="13"/>
      <c r="BJ146" s="13"/>
      <c r="BK146" s="13"/>
      <c r="BL146" s="13"/>
      <c r="BM146" s="13"/>
      <c r="BN146" s="13"/>
      <c r="BO146" s="13"/>
      <c r="BP146" s="18"/>
    </row>
    <row r="147">
      <c r="L147" s="16"/>
      <c r="M147" s="17"/>
      <c r="BG147" s="10"/>
      <c r="BH147" s="13"/>
      <c r="BI147" s="13"/>
      <c r="BJ147" s="13"/>
      <c r="BK147" s="13"/>
      <c r="BL147" s="13"/>
      <c r="BM147" s="13"/>
      <c r="BN147" s="13"/>
      <c r="BO147" s="13"/>
      <c r="BP147" s="18"/>
    </row>
    <row r="148">
      <c r="L148" s="16"/>
      <c r="M148" s="17"/>
      <c r="BG148" s="10"/>
      <c r="BH148" s="13"/>
      <c r="BI148" s="13"/>
      <c r="BJ148" s="13"/>
      <c r="BK148" s="13"/>
      <c r="BL148" s="13"/>
      <c r="BM148" s="13"/>
      <c r="BN148" s="13"/>
      <c r="BO148" s="13"/>
      <c r="BP148" s="18"/>
    </row>
    <row r="149">
      <c r="L149" s="16"/>
      <c r="M149" s="17"/>
      <c r="BG149" s="10"/>
      <c r="BH149" s="13"/>
      <c r="BI149" s="13"/>
      <c r="BJ149" s="13"/>
      <c r="BK149" s="13"/>
      <c r="BL149" s="13"/>
      <c r="BM149" s="13"/>
      <c r="BN149" s="13"/>
      <c r="BO149" s="13"/>
      <c r="BP149" s="18"/>
    </row>
    <row r="150">
      <c r="L150" s="16"/>
      <c r="M150" s="17"/>
      <c r="BG150" s="10"/>
      <c r="BH150" s="13"/>
      <c r="BI150" s="13"/>
      <c r="BJ150" s="13"/>
      <c r="BK150" s="13"/>
      <c r="BL150" s="13"/>
      <c r="BM150" s="13"/>
      <c r="BN150" s="13"/>
      <c r="BO150" s="13"/>
      <c r="BP150" s="18"/>
    </row>
    <row r="151">
      <c r="L151" s="16"/>
      <c r="M151" s="17"/>
      <c r="BG151" s="10"/>
      <c r="BH151" s="13"/>
      <c r="BI151" s="13"/>
      <c r="BJ151" s="13"/>
      <c r="BK151" s="13"/>
      <c r="BL151" s="13"/>
      <c r="BM151" s="13"/>
      <c r="BN151" s="13"/>
      <c r="BO151" s="13"/>
      <c r="BP151" s="18"/>
    </row>
    <row r="152">
      <c r="L152" s="16"/>
      <c r="M152" s="17"/>
      <c r="BG152" s="10"/>
      <c r="BH152" s="13"/>
      <c r="BI152" s="13"/>
      <c r="BJ152" s="13"/>
      <c r="BK152" s="13"/>
      <c r="BL152" s="13"/>
      <c r="BM152" s="13"/>
      <c r="BN152" s="13"/>
      <c r="BO152" s="13"/>
      <c r="BP152" s="18"/>
    </row>
    <row r="153">
      <c r="L153" s="16"/>
      <c r="M153" s="17"/>
      <c r="BG153" s="10"/>
      <c r="BH153" s="13"/>
      <c r="BI153" s="13"/>
      <c r="BJ153" s="13"/>
      <c r="BK153" s="13"/>
      <c r="BL153" s="13"/>
      <c r="BM153" s="13"/>
      <c r="BN153" s="13"/>
      <c r="BO153" s="13"/>
      <c r="BP153" s="18"/>
    </row>
    <row r="154">
      <c r="L154" s="16"/>
      <c r="M154" s="17"/>
      <c r="BG154" s="10"/>
      <c r="BH154" s="13"/>
      <c r="BI154" s="13"/>
      <c r="BJ154" s="13"/>
      <c r="BK154" s="13"/>
      <c r="BL154" s="13"/>
      <c r="BM154" s="13"/>
      <c r="BN154" s="13"/>
      <c r="BO154" s="13"/>
      <c r="BP154" s="18"/>
    </row>
    <row r="155">
      <c r="L155" s="16"/>
      <c r="M155" s="17"/>
      <c r="BG155" s="10"/>
      <c r="BH155" s="13"/>
      <c r="BI155" s="13"/>
      <c r="BJ155" s="13"/>
      <c r="BK155" s="13"/>
      <c r="BL155" s="13"/>
      <c r="BM155" s="13"/>
      <c r="BN155" s="13"/>
      <c r="BO155" s="13"/>
      <c r="BP155" s="18"/>
    </row>
    <row r="156">
      <c r="L156" s="16"/>
      <c r="M156" s="17"/>
      <c r="BG156" s="10"/>
      <c r="BH156" s="13"/>
      <c r="BI156" s="13"/>
      <c r="BJ156" s="13"/>
      <c r="BK156" s="13"/>
      <c r="BL156" s="13"/>
      <c r="BM156" s="13"/>
      <c r="BN156" s="13"/>
      <c r="BO156" s="13"/>
      <c r="BP156" s="18"/>
    </row>
    <row r="157">
      <c r="L157" s="16"/>
      <c r="M157" s="17"/>
      <c r="BG157" s="10"/>
      <c r="BH157" s="13"/>
      <c r="BI157" s="13"/>
      <c r="BJ157" s="13"/>
      <c r="BK157" s="13"/>
      <c r="BL157" s="13"/>
      <c r="BM157" s="13"/>
      <c r="BN157" s="13"/>
      <c r="BO157" s="13"/>
      <c r="BP157" s="18"/>
    </row>
    <row r="158">
      <c r="L158" s="16"/>
      <c r="M158" s="17"/>
      <c r="BG158" s="10"/>
      <c r="BH158" s="13"/>
      <c r="BI158" s="13"/>
      <c r="BJ158" s="13"/>
      <c r="BK158" s="13"/>
      <c r="BL158" s="13"/>
      <c r="BM158" s="13"/>
      <c r="BN158" s="13"/>
      <c r="BO158" s="13"/>
      <c r="BP158" s="18"/>
    </row>
    <row r="159">
      <c r="L159" s="16"/>
      <c r="M159" s="17"/>
      <c r="BG159" s="10"/>
      <c r="BH159" s="13"/>
      <c r="BI159" s="13"/>
      <c r="BJ159" s="13"/>
      <c r="BK159" s="13"/>
      <c r="BL159" s="13"/>
      <c r="BM159" s="13"/>
      <c r="BN159" s="13"/>
      <c r="BO159" s="13"/>
      <c r="BP159" s="18"/>
    </row>
    <row r="160">
      <c r="L160" s="16"/>
      <c r="M160" s="17"/>
      <c r="BG160" s="10"/>
      <c r="BH160" s="13"/>
      <c r="BI160" s="13"/>
      <c r="BJ160" s="13"/>
      <c r="BK160" s="13"/>
      <c r="BL160" s="13"/>
      <c r="BM160" s="13"/>
      <c r="BN160" s="13"/>
      <c r="BO160" s="13"/>
      <c r="BP160" s="18"/>
    </row>
    <row r="161">
      <c r="L161" s="16"/>
      <c r="M161" s="17"/>
      <c r="BG161" s="10"/>
      <c r="BH161" s="13"/>
      <c r="BI161" s="13"/>
      <c r="BJ161" s="13"/>
      <c r="BK161" s="13"/>
      <c r="BL161" s="13"/>
      <c r="BM161" s="13"/>
      <c r="BN161" s="13"/>
      <c r="BO161" s="13"/>
      <c r="BP161" s="18"/>
    </row>
    <row r="162">
      <c r="L162" s="16"/>
      <c r="M162" s="17"/>
      <c r="BG162" s="10"/>
      <c r="BH162" s="13"/>
      <c r="BI162" s="13"/>
      <c r="BJ162" s="13"/>
      <c r="BK162" s="13"/>
      <c r="BL162" s="13"/>
      <c r="BM162" s="13"/>
      <c r="BN162" s="13"/>
      <c r="BO162" s="13"/>
      <c r="BP162" s="18"/>
    </row>
    <row r="163">
      <c r="L163" s="16"/>
      <c r="M163" s="17"/>
      <c r="BG163" s="10"/>
      <c r="BH163" s="13"/>
      <c r="BI163" s="13"/>
      <c r="BJ163" s="13"/>
      <c r="BK163" s="13"/>
      <c r="BL163" s="13"/>
      <c r="BM163" s="13"/>
      <c r="BN163" s="13"/>
      <c r="BO163" s="13"/>
      <c r="BP163" s="18"/>
    </row>
    <row r="164">
      <c r="L164" s="16"/>
      <c r="M164" s="17"/>
      <c r="BG164" s="10"/>
      <c r="BH164" s="13"/>
      <c r="BI164" s="13"/>
      <c r="BJ164" s="13"/>
      <c r="BK164" s="13"/>
      <c r="BL164" s="13"/>
      <c r="BM164" s="13"/>
      <c r="BN164" s="13"/>
      <c r="BO164" s="13"/>
      <c r="BP164" s="18"/>
    </row>
    <row r="165">
      <c r="L165" s="16"/>
      <c r="M165" s="17"/>
      <c r="BG165" s="10"/>
      <c r="BH165" s="13"/>
      <c r="BI165" s="13"/>
      <c r="BJ165" s="13"/>
      <c r="BK165" s="13"/>
      <c r="BL165" s="13"/>
      <c r="BM165" s="13"/>
      <c r="BN165" s="13"/>
      <c r="BO165" s="13"/>
      <c r="BP165" s="18"/>
    </row>
    <row r="166">
      <c r="L166" s="16"/>
      <c r="M166" s="17"/>
      <c r="BG166" s="10"/>
      <c r="BH166" s="13"/>
      <c r="BI166" s="13"/>
      <c r="BJ166" s="13"/>
      <c r="BK166" s="13"/>
      <c r="BL166" s="13"/>
      <c r="BM166" s="13"/>
      <c r="BN166" s="13"/>
      <c r="BO166" s="13"/>
      <c r="BP166" s="18"/>
    </row>
    <row r="167">
      <c r="L167" s="16"/>
      <c r="M167" s="17"/>
      <c r="BG167" s="10"/>
      <c r="BH167" s="13"/>
      <c r="BI167" s="13"/>
      <c r="BJ167" s="13"/>
      <c r="BK167" s="13"/>
      <c r="BL167" s="13"/>
      <c r="BM167" s="13"/>
      <c r="BN167" s="13"/>
      <c r="BO167" s="13"/>
      <c r="BP167" s="18"/>
    </row>
    <row r="168">
      <c r="L168" s="16"/>
      <c r="M168" s="17"/>
      <c r="BG168" s="10"/>
      <c r="BH168" s="13"/>
      <c r="BI168" s="13"/>
      <c r="BJ168" s="13"/>
      <c r="BK168" s="13"/>
      <c r="BL168" s="13"/>
      <c r="BM168" s="13"/>
      <c r="BN168" s="13"/>
      <c r="BO168" s="13"/>
      <c r="BP168" s="18"/>
    </row>
    <row r="169">
      <c r="L169" s="16"/>
      <c r="M169" s="17"/>
      <c r="BG169" s="10"/>
      <c r="BH169" s="13"/>
      <c r="BI169" s="13"/>
      <c r="BJ169" s="13"/>
      <c r="BK169" s="13"/>
      <c r="BL169" s="13"/>
      <c r="BM169" s="13"/>
      <c r="BN169" s="13"/>
      <c r="BO169" s="13"/>
      <c r="BP169" s="18"/>
    </row>
    <row r="170">
      <c r="L170" s="16"/>
      <c r="M170" s="17"/>
      <c r="BG170" s="10"/>
      <c r="BH170" s="13"/>
      <c r="BI170" s="13"/>
      <c r="BJ170" s="13"/>
      <c r="BK170" s="13"/>
      <c r="BL170" s="13"/>
      <c r="BM170" s="13"/>
      <c r="BN170" s="13"/>
      <c r="BO170" s="13"/>
      <c r="BP170" s="18"/>
    </row>
    <row r="171">
      <c r="L171" s="16"/>
      <c r="M171" s="17"/>
      <c r="BG171" s="10"/>
      <c r="BH171" s="13"/>
      <c r="BI171" s="13"/>
      <c r="BJ171" s="13"/>
      <c r="BK171" s="13"/>
      <c r="BL171" s="13"/>
      <c r="BM171" s="13"/>
      <c r="BN171" s="13"/>
      <c r="BO171" s="13"/>
      <c r="BP171" s="18"/>
    </row>
    <row r="172">
      <c r="L172" s="16"/>
      <c r="M172" s="17"/>
      <c r="BG172" s="10"/>
      <c r="BH172" s="13"/>
      <c r="BI172" s="13"/>
      <c r="BJ172" s="13"/>
      <c r="BK172" s="13"/>
      <c r="BL172" s="13"/>
      <c r="BM172" s="13"/>
      <c r="BN172" s="13"/>
      <c r="BO172" s="13"/>
      <c r="BP172" s="18"/>
    </row>
    <row r="173">
      <c r="L173" s="16"/>
      <c r="M173" s="17"/>
      <c r="BG173" s="10"/>
      <c r="BH173" s="13"/>
      <c r="BI173" s="13"/>
      <c r="BJ173" s="13"/>
      <c r="BK173" s="13"/>
      <c r="BL173" s="13"/>
      <c r="BM173" s="13"/>
      <c r="BN173" s="13"/>
      <c r="BO173" s="13"/>
      <c r="BP173" s="18"/>
    </row>
    <row r="174">
      <c r="L174" s="16"/>
      <c r="M174" s="17"/>
      <c r="BG174" s="10"/>
      <c r="BH174" s="13"/>
      <c r="BI174" s="13"/>
      <c r="BJ174" s="13"/>
      <c r="BK174" s="13"/>
      <c r="BL174" s="13"/>
      <c r="BM174" s="13"/>
      <c r="BN174" s="13"/>
      <c r="BO174" s="13"/>
      <c r="BP174" s="18"/>
    </row>
    <row r="175">
      <c r="L175" s="16"/>
      <c r="M175" s="17"/>
      <c r="BG175" s="10"/>
      <c r="BH175" s="13"/>
      <c r="BI175" s="13"/>
      <c r="BJ175" s="13"/>
      <c r="BK175" s="13"/>
      <c r="BL175" s="13"/>
      <c r="BM175" s="13"/>
      <c r="BN175" s="13"/>
      <c r="BO175" s="13"/>
      <c r="BP175" s="18"/>
    </row>
    <row r="176">
      <c r="L176" s="16"/>
      <c r="M176" s="17"/>
      <c r="BG176" s="10"/>
      <c r="BH176" s="13"/>
      <c r="BI176" s="13"/>
      <c r="BJ176" s="13"/>
      <c r="BK176" s="13"/>
      <c r="BL176" s="13"/>
      <c r="BM176" s="13"/>
      <c r="BN176" s="13"/>
      <c r="BO176" s="13"/>
      <c r="BP176" s="18"/>
    </row>
    <row r="177">
      <c r="L177" s="16"/>
      <c r="M177" s="17"/>
      <c r="BG177" s="10"/>
      <c r="BH177" s="13"/>
      <c r="BI177" s="13"/>
      <c r="BJ177" s="13"/>
      <c r="BK177" s="13"/>
      <c r="BL177" s="13"/>
      <c r="BM177" s="13"/>
      <c r="BN177" s="13"/>
      <c r="BO177" s="13"/>
      <c r="BP177" s="18"/>
    </row>
    <row r="178">
      <c r="L178" s="16"/>
      <c r="M178" s="17"/>
      <c r="BG178" s="10"/>
      <c r="BH178" s="13"/>
      <c r="BI178" s="13"/>
      <c r="BJ178" s="13"/>
      <c r="BK178" s="13"/>
      <c r="BL178" s="13"/>
      <c r="BM178" s="13"/>
      <c r="BN178" s="13"/>
      <c r="BO178" s="13"/>
      <c r="BP178" s="18"/>
    </row>
    <row r="179">
      <c r="L179" s="16"/>
      <c r="M179" s="17"/>
      <c r="BG179" s="10"/>
      <c r="BH179" s="13"/>
      <c r="BI179" s="13"/>
      <c r="BJ179" s="13"/>
      <c r="BK179" s="13"/>
      <c r="BL179" s="13"/>
      <c r="BM179" s="13"/>
      <c r="BN179" s="13"/>
      <c r="BO179" s="13"/>
      <c r="BP179" s="18"/>
    </row>
    <row r="180">
      <c r="L180" s="16"/>
      <c r="M180" s="17"/>
      <c r="BG180" s="10"/>
      <c r="BH180" s="13"/>
      <c r="BI180" s="13"/>
      <c r="BJ180" s="13"/>
      <c r="BK180" s="13"/>
      <c r="BL180" s="13"/>
      <c r="BM180" s="13"/>
      <c r="BN180" s="13"/>
      <c r="BO180" s="13"/>
      <c r="BP180" s="18"/>
    </row>
    <row r="181">
      <c r="L181" s="16"/>
      <c r="M181" s="17"/>
      <c r="BG181" s="10"/>
      <c r="BH181" s="13"/>
      <c r="BI181" s="13"/>
      <c r="BJ181" s="13"/>
      <c r="BK181" s="13"/>
      <c r="BL181" s="13"/>
      <c r="BM181" s="13"/>
      <c r="BN181" s="13"/>
      <c r="BO181" s="13"/>
      <c r="BP181" s="18"/>
    </row>
    <row r="182">
      <c r="L182" s="16"/>
      <c r="M182" s="17"/>
      <c r="BG182" s="10"/>
      <c r="BH182" s="13"/>
      <c r="BI182" s="13"/>
      <c r="BJ182" s="13"/>
      <c r="BK182" s="13"/>
      <c r="BL182" s="13"/>
      <c r="BM182" s="13"/>
      <c r="BN182" s="13"/>
      <c r="BO182" s="13"/>
      <c r="BP182" s="18"/>
    </row>
    <row r="183">
      <c r="L183" s="16"/>
      <c r="M183" s="17"/>
      <c r="BG183" s="10"/>
      <c r="BH183" s="13"/>
      <c r="BI183" s="13"/>
      <c r="BJ183" s="13"/>
      <c r="BK183" s="13"/>
      <c r="BL183" s="13"/>
      <c r="BM183" s="13"/>
      <c r="BN183" s="13"/>
      <c r="BO183" s="13"/>
      <c r="BP183" s="18"/>
    </row>
    <row r="184">
      <c r="L184" s="16"/>
      <c r="M184" s="17"/>
      <c r="BG184" s="10"/>
      <c r="BH184" s="13"/>
      <c r="BI184" s="13"/>
      <c r="BJ184" s="13"/>
      <c r="BK184" s="13"/>
      <c r="BL184" s="13"/>
      <c r="BM184" s="13"/>
      <c r="BN184" s="13"/>
      <c r="BO184" s="13"/>
      <c r="BP184" s="18"/>
    </row>
    <row r="185">
      <c r="L185" s="16"/>
      <c r="M185" s="17"/>
      <c r="BG185" s="10"/>
      <c r="BH185" s="13"/>
      <c r="BI185" s="13"/>
      <c r="BJ185" s="13"/>
      <c r="BK185" s="13"/>
      <c r="BL185" s="13"/>
      <c r="BM185" s="13"/>
      <c r="BN185" s="13"/>
      <c r="BO185" s="13"/>
      <c r="BP185" s="18"/>
    </row>
    <row r="186">
      <c r="L186" s="16"/>
      <c r="M186" s="17"/>
      <c r="BG186" s="10"/>
      <c r="BH186" s="13"/>
      <c r="BI186" s="13"/>
      <c r="BJ186" s="13"/>
      <c r="BK186" s="13"/>
      <c r="BL186" s="13"/>
      <c r="BM186" s="13"/>
      <c r="BN186" s="13"/>
      <c r="BO186" s="13"/>
      <c r="BP186" s="18"/>
    </row>
    <row r="187">
      <c r="L187" s="16"/>
      <c r="M187" s="17"/>
      <c r="BG187" s="10"/>
      <c r="BH187" s="13"/>
      <c r="BI187" s="13"/>
      <c r="BJ187" s="13"/>
      <c r="BK187" s="13"/>
      <c r="BL187" s="13"/>
      <c r="BM187" s="13"/>
      <c r="BN187" s="13"/>
      <c r="BO187" s="13"/>
      <c r="BP187" s="18"/>
    </row>
    <row r="188">
      <c r="L188" s="16"/>
      <c r="M188" s="17"/>
      <c r="BG188" s="10"/>
      <c r="BH188" s="13"/>
      <c r="BI188" s="13"/>
      <c r="BJ188" s="13"/>
      <c r="BK188" s="13"/>
      <c r="BL188" s="13"/>
      <c r="BM188" s="13"/>
      <c r="BN188" s="13"/>
      <c r="BO188" s="13"/>
      <c r="BP188" s="18"/>
    </row>
    <row r="189">
      <c r="L189" s="16"/>
      <c r="M189" s="17"/>
      <c r="BG189" s="10"/>
      <c r="BH189" s="13"/>
      <c r="BI189" s="13"/>
      <c r="BJ189" s="13"/>
      <c r="BK189" s="13"/>
      <c r="BL189" s="13"/>
      <c r="BM189" s="13"/>
      <c r="BN189" s="13"/>
      <c r="BO189" s="13"/>
      <c r="BP189" s="18"/>
    </row>
    <row r="190">
      <c r="L190" s="16"/>
      <c r="M190" s="17"/>
      <c r="BG190" s="10"/>
      <c r="BH190" s="13"/>
      <c r="BI190" s="13"/>
      <c r="BJ190" s="13"/>
      <c r="BK190" s="13"/>
      <c r="BL190" s="13"/>
      <c r="BM190" s="13"/>
      <c r="BN190" s="13"/>
      <c r="BO190" s="13"/>
      <c r="BP190" s="18"/>
    </row>
    <row r="191">
      <c r="L191" s="16"/>
      <c r="M191" s="17"/>
      <c r="BG191" s="10"/>
      <c r="BH191" s="13"/>
      <c r="BI191" s="13"/>
      <c r="BJ191" s="13"/>
      <c r="BK191" s="13"/>
      <c r="BL191" s="13"/>
      <c r="BM191" s="13"/>
      <c r="BN191" s="13"/>
      <c r="BO191" s="13"/>
      <c r="BP191" s="18"/>
    </row>
    <row r="192">
      <c r="L192" s="16"/>
      <c r="M192" s="17"/>
      <c r="BG192" s="10"/>
      <c r="BH192" s="13"/>
      <c r="BI192" s="13"/>
      <c r="BJ192" s="13"/>
      <c r="BK192" s="13"/>
      <c r="BL192" s="13"/>
      <c r="BM192" s="13"/>
      <c r="BN192" s="13"/>
      <c r="BO192" s="13"/>
      <c r="BP192" s="18"/>
    </row>
    <row r="193">
      <c r="L193" s="16"/>
      <c r="M193" s="17"/>
      <c r="BG193" s="10"/>
      <c r="BH193" s="13"/>
      <c r="BI193" s="13"/>
      <c r="BJ193" s="13"/>
      <c r="BK193" s="13"/>
      <c r="BL193" s="13"/>
      <c r="BM193" s="13"/>
      <c r="BN193" s="13"/>
      <c r="BO193" s="13"/>
      <c r="BP193" s="18"/>
    </row>
    <row r="194">
      <c r="L194" s="16"/>
      <c r="M194" s="17"/>
      <c r="BG194" s="10"/>
      <c r="BH194" s="13"/>
      <c r="BI194" s="13"/>
      <c r="BJ194" s="13"/>
      <c r="BK194" s="13"/>
      <c r="BL194" s="13"/>
      <c r="BM194" s="13"/>
      <c r="BN194" s="13"/>
      <c r="BO194" s="13"/>
      <c r="BP194" s="18"/>
    </row>
    <row r="195">
      <c r="L195" s="16"/>
      <c r="M195" s="17"/>
      <c r="BG195" s="10"/>
      <c r="BH195" s="13"/>
      <c r="BI195" s="13"/>
      <c r="BJ195" s="13"/>
      <c r="BK195" s="13"/>
      <c r="BL195" s="13"/>
      <c r="BM195" s="13"/>
      <c r="BN195" s="13"/>
      <c r="BO195" s="13"/>
      <c r="BP195" s="18"/>
    </row>
    <row r="196">
      <c r="L196" s="16"/>
      <c r="M196" s="17"/>
      <c r="BG196" s="10"/>
      <c r="BH196" s="13"/>
      <c r="BI196" s="13"/>
      <c r="BJ196" s="13"/>
      <c r="BK196" s="13"/>
      <c r="BL196" s="13"/>
      <c r="BM196" s="13"/>
      <c r="BN196" s="13"/>
      <c r="BO196" s="13"/>
      <c r="BP196" s="18"/>
    </row>
    <row r="197">
      <c r="L197" s="16"/>
      <c r="M197" s="17"/>
      <c r="BG197" s="10"/>
      <c r="BH197" s="13"/>
      <c r="BI197" s="13"/>
      <c r="BJ197" s="13"/>
      <c r="BK197" s="13"/>
      <c r="BL197" s="13"/>
      <c r="BM197" s="13"/>
      <c r="BN197" s="13"/>
      <c r="BO197" s="13"/>
      <c r="BP197" s="18"/>
    </row>
    <row r="198">
      <c r="L198" s="16"/>
      <c r="M198" s="17"/>
      <c r="BG198" s="10"/>
      <c r="BH198" s="13"/>
      <c r="BI198" s="13"/>
      <c r="BJ198" s="13"/>
      <c r="BK198" s="13"/>
      <c r="BL198" s="13"/>
      <c r="BM198" s="13"/>
      <c r="BN198" s="13"/>
      <c r="BO198" s="13"/>
      <c r="BP198" s="18"/>
    </row>
    <row r="199">
      <c r="L199" s="16"/>
      <c r="M199" s="17"/>
      <c r="BG199" s="10"/>
      <c r="BH199" s="13"/>
      <c r="BI199" s="13"/>
      <c r="BJ199" s="13"/>
      <c r="BK199" s="13"/>
      <c r="BL199" s="13"/>
      <c r="BM199" s="13"/>
      <c r="BN199" s="13"/>
      <c r="BO199" s="13"/>
      <c r="BP199" s="18"/>
    </row>
    <row r="200">
      <c r="L200" s="16"/>
      <c r="M200" s="17"/>
      <c r="BG200" s="10"/>
      <c r="BH200" s="13"/>
      <c r="BI200" s="13"/>
      <c r="BJ200" s="13"/>
      <c r="BK200" s="13"/>
      <c r="BL200" s="13"/>
      <c r="BM200" s="13"/>
      <c r="BN200" s="13"/>
      <c r="BO200" s="13"/>
      <c r="BP200" s="18"/>
    </row>
    <row r="201">
      <c r="L201" s="16"/>
      <c r="M201" s="17"/>
      <c r="BG201" s="10"/>
      <c r="BH201" s="13"/>
      <c r="BI201" s="13"/>
      <c r="BJ201" s="13"/>
      <c r="BK201" s="13"/>
      <c r="BL201" s="13"/>
      <c r="BM201" s="13"/>
      <c r="BN201" s="13"/>
      <c r="BO201" s="13"/>
      <c r="BP201" s="18"/>
    </row>
    <row r="202">
      <c r="L202" s="16"/>
      <c r="M202" s="17"/>
      <c r="BG202" s="10"/>
      <c r="BH202" s="13"/>
      <c r="BI202" s="13"/>
      <c r="BJ202" s="13"/>
      <c r="BK202" s="13"/>
      <c r="BL202" s="13"/>
      <c r="BM202" s="13"/>
      <c r="BN202" s="13"/>
      <c r="BO202" s="13"/>
      <c r="BP202" s="18"/>
    </row>
    <row r="203">
      <c r="L203" s="16"/>
      <c r="M203" s="17"/>
      <c r="BG203" s="10"/>
      <c r="BH203" s="13"/>
      <c r="BI203" s="13"/>
      <c r="BJ203" s="13"/>
      <c r="BK203" s="13"/>
      <c r="BL203" s="13"/>
      <c r="BM203" s="13"/>
      <c r="BN203" s="13"/>
      <c r="BO203" s="13"/>
      <c r="BP203" s="18"/>
    </row>
    <row r="204">
      <c r="L204" s="16"/>
      <c r="M204" s="17"/>
      <c r="BG204" s="10"/>
      <c r="BH204" s="13"/>
      <c r="BI204" s="13"/>
      <c r="BJ204" s="13"/>
      <c r="BK204" s="13"/>
      <c r="BL204" s="13"/>
      <c r="BM204" s="13"/>
      <c r="BN204" s="13"/>
      <c r="BO204" s="13"/>
      <c r="BP204" s="18"/>
    </row>
    <row r="205">
      <c r="L205" s="16"/>
      <c r="M205" s="17"/>
      <c r="BG205" s="10"/>
      <c r="BH205" s="13"/>
      <c r="BI205" s="13"/>
      <c r="BJ205" s="13"/>
      <c r="BK205" s="13"/>
      <c r="BL205" s="13"/>
      <c r="BM205" s="13"/>
      <c r="BN205" s="13"/>
      <c r="BO205" s="13"/>
      <c r="BP205" s="18"/>
    </row>
    <row r="206">
      <c r="L206" s="16"/>
      <c r="M206" s="17"/>
      <c r="BG206" s="10"/>
      <c r="BH206" s="13"/>
      <c r="BI206" s="13"/>
      <c r="BJ206" s="13"/>
      <c r="BK206" s="13"/>
      <c r="BL206" s="13"/>
      <c r="BM206" s="13"/>
      <c r="BN206" s="13"/>
      <c r="BO206" s="13"/>
      <c r="BP206" s="18"/>
    </row>
    <row r="207">
      <c r="L207" s="16"/>
      <c r="M207" s="17"/>
      <c r="BG207" s="10"/>
      <c r="BH207" s="13"/>
      <c r="BI207" s="13"/>
      <c r="BJ207" s="13"/>
      <c r="BK207" s="13"/>
      <c r="BL207" s="13"/>
      <c r="BM207" s="13"/>
      <c r="BN207" s="13"/>
      <c r="BO207" s="13"/>
      <c r="BP207" s="18"/>
    </row>
    <row r="208">
      <c r="L208" s="16"/>
      <c r="M208" s="17"/>
      <c r="BG208" s="10"/>
      <c r="BH208" s="13"/>
      <c r="BI208" s="13"/>
      <c r="BJ208" s="13"/>
      <c r="BK208" s="13"/>
      <c r="BL208" s="13"/>
      <c r="BM208" s="13"/>
      <c r="BN208" s="13"/>
      <c r="BO208" s="13"/>
      <c r="BP208" s="18"/>
    </row>
    <row r="209">
      <c r="L209" s="16"/>
      <c r="M209" s="17"/>
      <c r="BG209" s="10"/>
      <c r="BH209" s="13"/>
      <c r="BI209" s="13"/>
      <c r="BJ209" s="13"/>
      <c r="BK209" s="13"/>
      <c r="BL209" s="13"/>
      <c r="BM209" s="13"/>
      <c r="BN209" s="13"/>
      <c r="BO209" s="13"/>
      <c r="BP209" s="18"/>
    </row>
    <row r="210">
      <c r="L210" s="16"/>
      <c r="M210" s="17"/>
      <c r="BG210" s="10"/>
      <c r="BH210" s="13"/>
      <c r="BI210" s="13"/>
      <c r="BJ210" s="13"/>
      <c r="BK210" s="13"/>
      <c r="BL210" s="13"/>
      <c r="BM210" s="13"/>
      <c r="BN210" s="13"/>
      <c r="BO210" s="13"/>
      <c r="BP210" s="18"/>
    </row>
    <row r="211">
      <c r="L211" s="16"/>
      <c r="M211" s="17"/>
      <c r="BG211" s="10"/>
      <c r="BH211" s="13"/>
      <c r="BI211" s="13"/>
      <c r="BJ211" s="13"/>
      <c r="BK211" s="13"/>
      <c r="BL211" s="13"/>
      <c r="BM211" s="13"/>
      <c r="BN211" s="13"/>
      <c r="BO211" s="13"/>
      <c r="BP211" s="18"/>
    </row>
    <row r="212">
      <c r="L212" s="16"/>
      <c r="M212" s="17"/>
      <c r="BG212" s="10"/>
      <c r="BH212" s="13"/>
      <c r="BI212" s="13"/>
      <c r="BJ212" s="13"/>
      <c r="BK212" s="13"/>
      <c r="BL212" s="13"/>
      <c r="BM212" s="13"/>
      <c r="BN212" s="13"/>
      <c r="BO212" s="13"/>
      <c r="BP212" s="18"/>
    </row>
    <row r="213">
      <c r="L213" s="16"/>
      <c r="M213" s="17"/>
      <c r="BG213" s="10"/>
      <c r="BH213" s="13"/>
      <c r="BI213" s="13"/>
      <c r="BJ213" s="13"/>
      <c r="BK213" s="13"/>
      <c r="BL213" s="13"/>
      <c r="BM213" s="13"/>
      <c r="BN213" s="13"/>
      <c r="BO213" s="13"/>
      <c r="BP213" s="18"/>
    </row>
    <row r="214">
      <c r="L214" s="16"/>
      <c r="M214" s="17"/>
      <c r="BG214" s="10"/>
      <c r="BH214" s="13"/>
      <c r="BI214" s="13"/>
      <c r="BJ214" s="13"/>
      <c r="BK214" s="13"/>
      <c r="BL214" s="13"/>
      <c r="BM214" s="13"/>
      <c r="BN214" s="13"/>
      <c r="BO214" s="13"/>
      <c r="BP214" s="18"/>
    </row>
    <row r="215">
      <c r="L215" s="16"/>
      <c r="M215" s="17"/>
      <c r="BG215" s="10"/>
      <c r="BH215" s="13"/>
      <c r="BI215" s="13"/>
      <c r="BJ215" s="13"/>
      <c r="BK215" s="13"/>
      <c r="BL215" s="13"/>
      <c r="BM215" s="13"/>
      <c r="BN215" s="13"/>
      <c r="BO215" s="13"/>
      <c r="BP215" s="18"/>
    </row>
    <row r="216">
      <c r="L216" s="16"/>
      <c r="M216" s="17"/>
      <c r="BG216" s="10"/>
      <c r="BH216" s="13"/>
      <c r="BI216" s="13"/>
      <c r="BJ216" s="13"/>
      <c r="BK216" s="13"/>
      <c r="BL216" s="13"/>
      <c r="BM216" s="13"/>
      <c r="BN216" s="13"/>
      <c r="BO216" s="13"/>
      <c r="BP216" s="18"/>
    </row>
    <row r="217">
      <c r="L217" s="16"/>
      <c r="M217" s="17"/>
      <c r="BG217" s="10"/>
      <c r="BH217" s="13"/>
      <c r="BI217" s="13"/>
      <c r="BJ217" s="13"/>
      <c r="BK217" s="13"/>
      <c r="BL217" s="13"/>
      <c r="BM217" s="13"/>
      <c r="BN217" s="13"/>
      <c r="BO217" s="13"/>
      <c r="BP217" s="18"/>
    </row>
    <row r="218">
      <c r="L218" s="16"/>
      <c r="M218" s="17"/>
      <c r="BG218" s="10"/>
      <c r="BH218" s="13"/>
      <c r="BI218" s="13"/>
      <c r="BJ218" s="13"/>
      <c r="BK218" s="13"/>
      <c r="BL218" s="13"/>
      <c r="BM218" s="13"/>
      <c r="BN218" s="13"/>
      <c r="BO218" s="13"/>
      <c r="BP218" s="18"/>
    </row>
    <row r="219">
      <c r="L219" s="16"/>
      <c r="M219" s="17"/>
      <c r="BG219" s="10"/>
      <c r="BH219" s="13"/>
      <c r="BI219" s="13"/>
      <c r="BJ219" s="13"/>
      <c r="BK219" s="13"/>
      <c r="BL219" s="13"/>
      <c r="BM219" s="13"/>
      <c r="BN219" s="13"/>
      <c r="BO219" s="13"/>
      <c r="BP219" s="18"/>
    </row>
    <row r="220">
      <c r="L220" s="16"/>
      <c r="M220" s="17"/>
      <c r="BG220" s="10"/>
      <c r="BH220" s="13"/>
      <c r="BI220" s="13"/>
      <c r="BJ220" s="13"/>
      <c r="BK220" s="13"/>
      <c r="BL220" s="13"/>
      <c r="BM220" s="13"/>
      <c r="BN220" s="13"/>
      <c r="BO220" s="13"/>
      <c r="BP220" s="18"/>
    </row>
    <row r="221">
      <c r="L221" s="16"/>
      <c r="M221" s="17"/>
      <c r="BG221" s="10"/>
      <c r="BH221" s="13"/>
      <c r="BI221" s="13"/>
      <c r="BJ221" s="13"/>
      <c r="BK221" s="13"/>
      <c r="BL221" s="13"/>
      <c r="BM221" s="13"/>
      <c r="BN221" s="13"/>
      <c r="BO221" s="13"/>
      <c r="BP221" s="18"/>
    </row>
    <row r="222">
      <c r="L222" s="16"/>
      <c r="M222" s="17"/>
      <c r="BG222" s="10"/>
      <c r="BH222" s="13"/>
      <c r="BI222" s="13"/>
      <c r="BJ222" s="13"/>
      <c r="BK222" s="13"/>
      <c r="BL222" s="13"/>
      <c r="BM222" s="13"/>
      <c r="BN222" s="13"/>
      <c r="BO222" s="13"/>
      <c r="BP222" s="18"/>
    </row>
    <row r="223">
      <c r="L223" s="16"/>
      <c r="M223" s="17"/>
      <c r="BG223" s="10"/>
      <c r="BH223" s="13"/>
      <c r="BI223" s="13"/>
      <c r="BJ223" s="13"/>
      <c r="BK223" s="13"/>
      <c r="BL223" s="13"/>
      <c r="BM223" s="13"/>
      <c r="BN223" s="13"/>
      <c r="BO223" s="13"/>
      <c r="BP223" s="18"/>
    </row>
    <row r="224">
      <c r="L224" s="16"/>
      <c r="M224" s="17"/>
      <c r="BG224" s="10"/>
      <c r="BH224" s="13"/>
      <c r="BI224" s="13"/>
      <c r="BJ224" s="13"/>
      <c r="BK224" s="13"/>
      <c r="BL224" s="13"/>
      <c r="BM224" s="13"/>
      <c r="BN224" s="13"/>
      <c r="BO224" s="13"/>
      <c r="BP224" s="18"/>
    </row>
    <row r="225">
      <c r="L225" s="16"/>
      <c r="M225" s="17"/>
      <c r="BG225" s="10"/>
      <c r="BH225" s="13"/>
      <c r="BI225" s="13"/>
      <c r="BJ225" s="13"/>
      <c r="BK225" s="13"/>
      <c r="BL225" s="13"/>
      <c r="BM225" s="13"/>
      <c r="BN225" s="13"/>
      <c r="BO225" s="13"/>
      <c r="BP225" s="18"/>
    </row>
    <row r="226">
      <c r="L226" s="16"/>
      <c r="M226" s="17"/>
      <c r="BG226" s="10"/>
      <c r="BH226" s="13"/>
      <c r="BI226" s="13"/>
      <c r="BJ226" s="13"/>
      <c r="BK226" s="13"/>
      <c r="BL226" s="13"/>
      <c r="BM226" s="13"/>
      <c r="BN226" s="13"/>
      <c r="BO226" s="13"/>
      <c r="BP226" s="18"/>
    </row>
    <row r="227">
      <c r="L227" s="16"/>
      <c r="M227" s="17"/>
      <c r="BG227" s="10"/>
      <c r="BH227" s="13"/>
      <c r="BI227" s="13"/>
      <c r="BJ227" s="13"/>
      <c r="BK227" s="13"/>
      <c r="BL227" s="13"/>
      <c r="BM227" s="13"/>
      <c r="BN227" s="13"/>
      <c r="BO227" s="13"/>
      <c r="BP227" s="18"/>
    </row>
    <row r="228">
      <c r="L228" s="16"/>
      <c r="M228" s="17"/>
      <c r="BG228" s="10"/>
      <c r="BH228" s="13"/>
      <c r="BI228" s="13"/>
      <c r="BJ228" s="13"/>
      <c r="BK228" s="13"/>
      <c r="BL228" s="13"/>
      <c r="BM228" s="13"/>
      <c r="BN228" s="13"/>
      <c r="BO228" s="13"/>
      <c r="BP228" s="18"/>
    </row>
    <row r="229">
      <c r="L229" s="16"/>
      <c r="M229" s="17"/>
      <c r="BG229" s="10"/>
      <c r="BH229" s="13"/>
      <c r="BI229" s="13"/>
      <c r="BJ229" s="13"/>
      <c r="BK229" s="13"/>
      <c r="BL229" s="13"/>
      <c r="BM229" s="13"/>
      <c r="BN229" s="13"/>
      <c r="BO229" s="13"/>
      <c r="BP229" s="18"/>
    </row>
    <row r="230">
      <c r="L230" s="16"/>
      <c r="M230" s="17"/>
      <c r="BG230" s="10"/>
      <c r="BH230" s="13"/>
      <c r="BI230" s="13"/>
      <c r="BJ230" s="13"/>
      <c r="BK230" s="13"/>
      <c r="BL230" s="13"/>
      <c r="BM230" s="13"/>
      <c r="BN230" s="13"/>
      <c r="BO230" s="13"/>
      <c r="BP230" s="18"/>
    </row>
    <row r="231">
      <c r="L231" s="16"/>
      <c r="M231" s="17"/>
      <c r="BG231" s="10"/>
      <c r="BH231" s="13"/>
      <c r="BI231" s="13"/>
      <c r="BJ231" s="13"/>
      <c r="BK231" s="13"/>
      <c r="BL231" s="13"/>
      <c r="BM231" s="13"/>
      <c r="BN231" s="13"/>
      <c r="BO231" s="13"/>
      <c r="BP231" s="18"/>
    </row>
    <row r="232">
      <c r="L232" s="16"/>
      <c r="M232" s="17"/>
      <c r="BG232" s="10"/>
      <c r="BH232" s="13"/>
      <c r="BI232" s="13"/>
      <c r="BJ232" s="13"/>
      <c r="BK232" s="13"/>
      <c r="BL232" s="13"/>
      <c r="BM232" s="13"/>
      <c r="BN232" s="13"/>
      <c r="BO232" s="13"/>
      <c r="BP232" s="18"/>
    </row>
    <row r="233">
      <c r="L233" s="16"/>
      <c r="M233" s="17"/>
      <c r="BG233" s="10"/>
      <c r="BH233" s="13"/>
      <c r="BI233" s="13"/>
      <c r="BJ233" s="13"/>
      <c r="BK233" s="13"/>
      <c r="BL233" s="13"/>
      <c r="BM233" s="13"/>
      <c r="BN233" s="13"/>
      <c r="BO233" s="13"/>
      <c r="BP233" s="18"/>
    </row>
    <row r="234">
      <c r="L234" s="16"/>
      <c r="M234" s="17"/>
      <c r="BG234" s="10"/>
      <c r="BH234" s="13"/>
      <c r="BI234" s="13"/>
      <c r="BJ234" s="13"/>
      <c r="BK234" s="13"/>
      <c r="BL234" s="13"/>
      <c r="BM234" s="13"/>
      <c r="BN234" s="13"/>
      <c r="BO234" s="13"/>
      <c r="BP234" s="18"/>
    </row>
    <row r="235">
      <c r="L235" s="16"/>
      <c r="M235" s="17"/>
      <c r="BG235" s="10"/>
      <c r="BH235" s="13"/>
      <c r="BI235" s="13"/>
      <c r="BJ235" s="13"/>
      <c r="BK235" s="13"/>
      <c r="BL235" s="13"/>
      <c r="BM235" s="13"/>
      <c r="BN235" s="13"/>
      <c r="BO235" s="13"/>
      <c r="BP235" s="18"/>
    </row>
    <row r="236">
      <c r="L236" s="16"/>
      <c r="M236" s="17"/>
      <c r="BG236" s="10"/>
      <c r="BH236" s="13"/>
      <c r="BI236" s="13"/>
      <c r="BJ236" s="13"/>
      <c r="BK236" s="13"/>
      <c r="BL236" s="13"/>
      <c r="BM236" s="13"/>
      <c r="BN236" s="13"/>
      <c r="BO236" s="13"/>
      <c r="BP236" s="18"/>
    </row>
    <row r="237">
      <c r="L237" s="16"/>
      <c r="M237" s="17"/>
      <c r="BG237" s="10"/>
      <c r="BH237" s="13"/>
      <c r="BI237" s="13"/>
      <c r="BJ237" s="13"/>
      <c r="BK237" s="13"/>
      <c r="BL237" s="13"/>
      <c r="BM237" s="13"/>
      <c r="BN237" s="13"/>
      <c r="BO237" s="13"/>
      <c r="BP237" s="18"/>
    </row>
    <row r="238">
      <c r="L238" s="16"/>
      <c r="M238" s="17"/>
      <c r="BG238" s="10"/>
      <c r="BH238" s="13"/>
      <c r="BI238" s="13"/>
      <c r="BJ238" s="13"/>
      <c r="BK238" s="13"/>
      <c r="BL238" s="13"/>
      <c r="BM238" s="13"/>
      <c r="BN238" s="13"/>
      <c r="BO238" s="13"/>
      <c r="BP238" s="18"/>
    </row>
    <row r="239">
      <c r="L239" s="16"/>
      <c r="M239" s="17"/>
      <c r="BG239" s="10"/>
      <c r="BH239" s="13"/>
      <c r="BI239" s="13"/>
      <c r="BJ239" s="13"/>
      <c r="BK239" s="13"/>
      <c r="BL239" s="13"/>
      <c r="BM239" s="13"/>
      <c r="BN239" s="13"/>
      <c r="BO239" s="13"/>
      <c r="BP239" s="18"/>
    </row>
    <row r="240">
      <c r="L240" s="16"/>
      <c r="M240" s="17"/>
      <c r="BG240" s="10"/>
      <c r="BH240" s="13"/>
      <c r="BI240" s="13"/>
      <c r="BJ240" s="13"/>
      <c r="BK240" s="13"/>
      <c r="BL240" s="13"/>
      <c r="BM240" s="13"/>
      <c r="BN240" s="13"/>
      <c r="BO240" s="13"/>
      <c r="BP240" s="18"/>
    </row>
    <row r="241">
      <c r="L241" s="16"/>
      <c r="M241" s="17"/>
      <c r="BG241" s="10"/>
      <c r="BH241" s="13"/>
      <c r="BI241" s="13"/>
      <c r="BJ241" s="13"/>
      <c r="BK241" s="13"/>
      <c r="BL241" s="13"/>
      <c r="BM241" s="13"/>
      <c r="BN241" s="13"/>
      <c r="BO241" s="13"/>
      <c r="BP241" s="18"/>
    </row>
    <row r="242">
      <c r="L242" s="16"/>
      <c r="M242" s="17"/>
      <c r="BG242" s="10"/>
      <c r="BH242" s="13"/>
      <c r="BI242" s="13"/>
      <c r="BJ242" s="13"/>
      <c r="BK242" s="13"/>
      <c r="BL242" s="13"/>
      <c r="BM242" s="13"/>
      <c r="BN242" s="13"/>
      <c r="BO242" s="13"/>
      <c r="BP242" s="18"/>
    </row>
    <row r="243">
      <c r="L243" s="16"/>
      <c r="M243" s="17"/>
      <c r="BG243" s="10"/>
      <c r="BH243" s="13"/>
      <c r="BI243" s="13"/>
      <c r="BJ243" s="13"/>
      <c r="BK243" s="13"/>
      <c r="BL243" s="13"/>
      <c r="BM243" s="13"/>
      <c r="BN243" s="13"/>
      <c r="BO243" s="13"/>
      <c r="BP243" s="18"/>
    </row>
    <row r="244">
      <c r="L244" s="16"/>
      <c r="M244" s="17"/>
      <c r="BG244" s="10"/>
      <c r="BH244" s="13"/>
      <c r="BI244" s="13"/>
      <c r="BJ244" s="13"/>
      <c r="BK244" s="13"/>
      <c r="BL244" s="13"/>
      <c r="BM244" s="13"/>
      <c r="BN244" s="13"/>
      <c r="BO244" s="13"/>
      <c r="BP244" s="18"/>
    </row>
    <row r="245">
      <c r="L245" s="16"/>
      <c r="M245" s="17"/>
      <c r="BG245" s="10"/>
      <c r="BH245" s="13"/>
      <c r="BI245" s="13"/>
      <c r="BJ245" s="13"/>
      <c r="BK245" s="13"/>
      <c r="BL245" s="13"/>
      <c r="BM245" s="13"/>
      <c r="BN245" s="13"/>
      <c r="BO245" s="13"/>
      <c r="BP245" s="18"/>
    </row>
    <row r="246">
      <c r="L246" s="16"/>
      <c r="M246" s="17"/>
      <c r="BG246" s="10"/>
      <c r="BH246" s="13"/>
      <c r="BI246" s="13"/>
      <c r="BJ246" s="13"/>
      <c r="BK246" s="13"/>
      <c r="BL246" s="13"/>
      <c r="BM246" s="13"/>
      <c r="BN246" s="13"/>
      <c r="BO246" s="13"/>
      <c r="BP246" s="18"/>
    </row>
    <row r="247">
      <c r="L247" s="16"/>
      <c r="M247" s="17"/>
      <c r="BG247" s="10"/>
      <c r="BH247" s="13"/>
      <c r="BI247" s="13"/>
      <c r="BJ247" s="13"/>
      <c r="BK247" s="13"/>
      <c r="BL247" s="13"/>
      <c r="BM247" s="13"/>
      <c r="BN247" s="13"/>
      <c r="BO247" s="13"/>
      <c r="BP247" s="18"/>
    </row>
    <row r="248">
      <c r="L248" s="16"/>
      <c r="M248" s="17"/>
      <c r="BG248" s="10"/>
      <c r="BH248" s="13"/>
      <c r="BI248" s="13"/>
      <c r="BJ248" s="13"/>
      <c r="BK248" s="13"/>
      <c r="BL248" s="13"/>
      <c r="BM248" s="13"/>
      <c r="BN248" s="13"/>
      <c r="BO248" s="13"/>
      <c r="BP248" s="18"/>
    </row>
    <row r="249">
      <c r="L249" s="16"/>
      <c r="M249" s="17"/>
      <c r="BG249" s="10"/>
      <c r="BH249" s="13"/>
      <c r="BI249" s="13"/>
      <c r="BJ249" s="13"/>
      <c r="BK249" s="13"/>
      <c r="BL249" s="13"/>
      <c r="BM249" s="13"/>
      <c r="BN249" s="13"/>
      <c r="BO249" s="13"/>
      <c r="BP249" s="18"/>
    </row>
    <row r="250">
      <c r="L250" s="16"/>
      <c r="M250" s="17"/>
      <c r="BG250" s="10"/>
      <c r="BH250" s="13"/>
      <c r="BI250" s="13"/>
      <c r="BJ250" s="13"/>
      <c r="BK250" s="13"/>
      <c r="BL250" s="13"/>
      <c r="BM250" s="13"/>
      <c r="BN250" s="13"/>
      <c r="BO250" s="13"/>
      <c r="BP250" s="18"/>
    </row>
    <row r="251">
      <c r="L251" s="16"/>
      <c r="M251" s="17"/>
      <c r="BG251" s="10"/>
      <c r="BH251" s="13"/>
      <c r="BI251" s="13"/>
      <c r="BJ251" s="13"/>
      <c r="BK251" s="13"/>
      <c r="BL251" s="13"/>
      <c r="BM251" s="13"/>
      <c r="BN251" s="13"/>
      <c r="BO251" s="13"/>
      <c r="BP251" s="18"/>
    </row>
    <row r="252">
      <c r="L252" s="16"/>
      <c r="M252" s="17"/>
      <c r="BG252" s="10"/>
      <c r="BH252" s="13"/>
      <c r="BI252" s="13"/>
      <c r="BJ252" s="13"/>
      <c r="BK252" s="13"/>
      <c r="BL252" s="13"/>
      <c r="BM252" s="13"/>
      <c r="BN252" s="13"/>
      <c r="BO252" s="13"/>
      <c r="BP252" s="18"/>
    </row>
    <row r="253">
      <c r="L253" s="16"/>
      <c r="M253" s="17"/>
      <c r="BG253" s="10"/>
      <c r="BH253" s="13"/>
      <c r="BI253" s="13"/>
      <c r="BJ253" s="13"/>
      <c r="BK253" s="13"/>
      <c r="BL253" s="13"/>
      <c r="BM253" s="13"/>
      <c r="BN253" s="13"/>
      <c r="BO253" s="13"/>
      <c r="BP253" s="18"/>
    </row>
    <row r="254">
      <c r="L254" s="16"/>
      <c r="M254" s="17"/>
      <c r="BG254" s="10"/>
      <c r="BH254" s="13"/>
      <c r="BI254" s="13"/>
      <c r="BJ254" s="13"/>
      <c r="BK254" s="13"/>
      <c r="BL254" s="13"/>
      <c r="BM254" s="13"/>
      <c r="BN254" s="13"/>
      <c r="BO254" s="13"/>
      <c r="BP254" s="18"/>
    </row>
    <row r="255">
      <c r="L255" s="16"/>
      <c r="M255" s="17"/>
      <c r="BG255" s="10"/>
      <c r="BH255" s="13"/>
      <c r="BI255" s="13"/>
      <c r="BJ255" s="13"/>
      <c r="BK255" s="13"/>
      <c r="BL255" s="13"/>
      <c r="BM255" s="13"/>
      <c r="BN255" s="13"/>
      <c r="BO255" s="13"/>
      <c r="BP255" s="18"/>
    </row>
    <row r="256">
      <c r="L256" s="16"/>
      <c r="M256" s="17"/>
      <c r="BG256" s="10"/>
      <c r="BH256" s="13"/>
      <c r="BI256" s="13"/>
      <c r="BJ256" s="13"/>
      <c r="BK256" s="13"/>
      <c r="BL256" s="13"/>
      <c r="BM256" s="13"/>
      <c r="BN256" s="13"/>
      <c r="BO256" s="13"/>
      <c r="BP256" s="18"/>
    </row>
    <row r="257">
      <c r="L257" s="16"/>
      <c r="M257" s="17"/>
      <c r="BG257" s="10"/>
      <c r="BH257" s="13"/>
      <c r="BI257" s="13"/>
      <c r="BJ257" s="13"/>
      <c r="BK257" s="13"/>
      <c r="BL257" s="13"/>
      <c r="BM257" s="13"/>
      <c r="BN257" s="13"/>
      <c r="BO257" s="13"/>
      <c r="BP257" s="18"/>
    </row>
    <row r="258">
      <c r="L258" s="16"/>
      <c r="M258" s="17"/>
      <c r="BG258" s="10"/>
      <c r="BH258" s="13"/>
      <c r="BI258" s="13"/>
      <c r="BJ258" s="13"/>
      <c r="BK258" s="13"/>
      <c r="BL258" s="13"/>
      <c r="BM258" s="13"/>
      <c r="BN258" s="13"/>
      <c r="BO258" s="13"/>
      <c r="BP258" s="18"/>
    </row>
    <row r="259">
      <c r="L259" s="16"/>
      <c r="M259" s="17"/>
      <c r="BG259" s="10"/>
      <c r="BH259" s="13"/>
      <c r="BI259" s="13"/>
      <c r="BJ259" s="13"/>
      <c r="BK259" s="13"/>
      <c r="BL259" s="13"/>
      <c r="BM259" s="13"/>
      <c r="BN259" s="13"/>
      <c r="BO259" s="13"/>
      <c r="BP259" s="18"/>
    </row>
    <row r="260">
      <c r="L260" s="16"/>
      <c r="M260" s="17"/>
      <c r="BG260" s="10"/>
      <c r="BH260" s="13"/>
      <c r="BI260" s="13"/>
      <c r="BJ260" s="13"/>
      <c r="BK260" s="13"/>
      <c r="BL260" s="13"/>
      <c r="BM260" s="13"/>
      <c r="BN260" s="13"/>
      <c r="BO260" s="13"/>
      <c r="BP260" s="18"/>
    </row>
    <row r="261">
      <c r="L261" s="16"/>
      <c r="M261" s="17"/>
      <c r="BG261" s="10"/>
      <c r="BH261" s="13"/>
      <c r="BI261" s="13"/>
      <c r="BJ261" s="13"/>
      <c r="BK261" s="13"/>
      <c r="BL261" s="13"/>
      <c r="BM261" s="13"/>
      <c r="BN261" s="13"/>
      <c r="BO261" s="13"/>
      <c r="BP261" s="18"/>
    </row>
    <row r="262">
      <c r="L262" s="16"/>
      <c r="M262" s="17"/>
      <c r="BG262" s="10"/>
      <c r="BH262" s="13"/>
      <c r="BI262" s="13"/>
      <c r="BJ262" s="13"/>
      <c r="BK262" s="13"/>
      <c r="BL262" s="13"/>
      <c r="BM262" s="13"/>
      <c r="BN262" s="13"/>
      <c r="BO262" s="13"/>
      <c r="BP262" s="18"/>
    </row>
    <row r="263">
      <c r="L263" s="16"/>
      <c r="M263" s="17"/>
      <c r="BG263" s="10"/>
      <c r="BH263" s="13"/>
      <c r="BI263" s="13"/>
      <c r="BJ263" s="13"/>
      <c r="BK263" s="13"/>
      <c r="BL263" s="13"/>
      <c r="BM263" s="13"/>
      <c r="BN263" s="13"/>
      <c r="BO263" s="13"/>
      <c r="BP263" s="18"/>
    </row>
    <row r="264">
      <c r="L264" s="16"/>
      <c r="M264" s="17"/>
      <c r="BG264" s="10"/>
      <c r="BH264" s="13"/>
      <c r="BI264" s="13"/>
      <c r="BJ264" s="13"/>
      <c r="BK264" s="13"/>
      <c r="BL264" s="13"/>
      <c r="BM264" s="13"/>
      <c r="BN264" s="13"/>
      <c r="BO264" s="13"/>
      <c r="BP264" s="18"/>
    </row>
    <row r="265">
      <c r="L265" s="16"/>
      <c r="M265" s="17"/>
      <c r="BG265" s="10"/>
      <c r="BH265" s="13"/>
      <c r="BI265" s="13"/>
      <c r="BJ265" s="13"/>
      <c r="BK265" s="13"/>
      <c r="BL265" s="13"/>
      <c r="BM265" s="13"/>
      <c r="BN265" s="13"/>
      <c r="BO265" s="13"/>
      <c r="BP265" s="18"/>
    </row>
    <row r="266">
      <c r="L266" s="16"/>
      <c r="M266" s="17"/>
      <c r="BG266" s="10"/>
      <c r="BH266" s="13"/>
      <c r="BI266" s="13"/>
      <c r="BJ266" s="13"/>
      <c r="BK266" s="13"/>
      <c r="BL266" s="13"/>
      <c r="BM266" s="13"/>
      <c r="BN266" s="13"/>
      <c r="BO266" s="13"/>
      <c r="BP266" s="18"/>
    </row>
    <row r="267">
      <c r="L267" s="16"/>
      <c r="M267" s="17"/>
      <c r="BG267" s="10"/>
      <c r="BH267" s="13"/>
      <c r="BI267" s="13"/>
      <c r="BJ267" s="13"/>
      <c r="BK267" s="13"/>
      <c r="BL267" s="13"/>
      <c r="BM267" s="13"/>
      <c r="BN267" s="13"/>
      <c r="BO267" s="13"/>
      <c r="BP267" s="18"/>
    </row>
    <row r="268">
      <c r="L268" s="16"/>
      <c r="M268" s="17"/>
      <c r="BG268" s="10"/>
      <c r="BH268" s="13"/>
      <c r="BI268" s="13"/>
      <c r="BJ268" s="13"/>
      <c r="BK268" s="13"/>
      <c r="BL268" s="13"/>
      <c r="BM268" s="13"/>
      <c r="BN268" s="13"/>
      <c r="BO268" s="13"/>
      <c r="BP268" s="18"/>
    </row>
    <row r="269">
      <c r="L269" s="16"/>
      <c r="M269" s="17"/>
      <c r="BG269" s="10"/>
      <c r="BH269" s="13"/>
      <c r="BI269" s="13"/>
      <c r="BJ269" s="13"/>
      <c r="BK269" s="13"/>
      <c r="BL269" s="13"/>
      <c r="BM269" s="13"/>
      <c r="BN269" s="13"/>
      <c r="BO269" s="13"/>
      <c r="BP269" s="18"/>
    </row>
    <row r="270">
      <c r="L270" s="16"/>
      <c r="M270" s="17"/>
      <c r="BG270" s="10"/>
      <c r="BH270" s="13"/>
      <c r="BI270" s="13"/>
      <c r="BJ270" s="13"/>
      <c r="BK270" s="13"/>
      <c r="BL270" s="13"/>
      <c r="BM270" s="13"/>
      <c r="BN270" s="13"/>
      <c r="BO270" s="13"/>
      <c r="BP270" s="18"/>
    </row>
    <row r="271">
      <c r="L271" s="16"/>
      <c r="M271" s="17"/>
      <c r="BG271" s="10"/>
      <c r="BH271" s="13"/>
      <c r="BI271" s="13"/>
      <c r="BJ271" s="13"/>
      <c r="BK271" s="13"/>
      <c r="BL271" s="13"/>
      <c r="BM271" s="13"/>
      <c r="BN271" s="13"/>
      <c r="BO271" s="13"/>
      <c r="BP271" s="18"/>
    </row>
    <row r="272">
      <c r="L272" s="16"/>
      <c r="M272" s="17"/>
      <c r="BG272" s="10"/>
      <c r="BH272" s="13"/>
      <c r="BI272" s="13"/>
      <c r="BJ272" s="13"/>
      <c r="BK272" s="13"/>
      <c r="BL272" s="13"/>
      <c r="BM272" s="13"/>
      <c r="BN272" s="13"/>
      <c r="BO272" s="13"/>
      <c r="BP272" s="18"/>
    </row>
    <row r="273">
      <c r="L273" s="16"/>
      <c r="M273" s="17"/>
      <c r="BG273" s="10"/>
      <c r="BH273" s="13"/>
      <c r="BI273" s="13"/>
      <c r="BJ273" s="13"/>
      <c r="BK273" s="13"/>
      <c r="BL273" s="13"/>
      <c r="BM273" s="13"/>
      <c r="BN273" s="13"/>
      <c r="BO273" s="13"/>
      <c r="BP273" s="18"/>
    </row>
    <row r="274">
      <c r="L274" s="16"/>
      <c r="M274" s="17"/>
      <c r="BG274" s="10"/>
      <c r="BH274" s="13"/>
      <c r="BI274" s="13"/>
      <c r="BJ274" s="13"/>
      <c r="BK274" s="13"/>
      <c r="BL274" s="13"/>
      <c r="BM274" s="13"/>
      <c r="BN274" s="13"/>
      <c r="BO274" s="13"/>
      <c r="BP274" s="18"/>
    </row>
    <row r="275">
      <c r="L275" s="16"/>
      <c r="M275" s="17"/>
      <c r="BG275" s="10"/>
      <c r="BH275" s="13"/>
      <c r="BI275" s="13"/>
      <c r="BJ275" s="13"/>
      <c r="BK275" s="13"/>
      <c r="BL275" s="13"/>
      <c r="BM275" s="13"/>
      <c r="BN275" s="13"/>
      <c r="BO275" s="13"/>
      <c r="BP275" s="18"/>
    </row>
    <row r="276">
      <c r="L276" s="16"/>
      <c r="M276" s="17"/>
      <c r="BG276" s="10"/>
      <c r="BH276" s="13"/>
      <c r="BI276" s="13"/>
      <c r="BJ276" s="13"/>
      <c r="BK276" s="13"/>
      <c r="BL276" s="13"/>
      <c r="BM276" s="13"/>
      <c r="BN276" s="13"/>
      <c r="BO276" s="13"/>
      <c r="BP276" s="18"/>
    </row>
    <row r="277">
      <c r="L277" s="16"/>
      <c r="M277" s="17"/>
      <c r="BG277" s="10"/>
      <c r="BH277" s="13"/>
      <c r="BI277" s="13"/>
      <c r="BJ277" s="13"/>
      <c r="BK277" s="13"/>
      <c r="BL277" s="13"/>
      <c r="BM277" s="13"/>
      <c r="BN277" s="13"/>
      <c r="BO277" s="13"/>
      <c r="BP277" s="18"/>
    </row>
    <row r="278">
      <c r="L278" s="16"/>
      <c r="M278" s="17"/>
      <c r="BG278" s="10"/>
      <c r="BH278" s="13"/>
      <c r="BI278" s="13"/>
      <c r="BJ278" s="13"/>
      <c r="BK278" s="13"/>
      <c r="BL278" s="13"/>
      <c r="BM278" s="13"/>
      <c r="BN278" s="13"/>
      <c r="BO278" s="13"/>
      <c r="BP278" s="18"/>
    </row>
    <row r="279">
      <c r="L279" s="16"/>
      <c r="M279" s="17"/>
      <c r="BG279" s="10"/>
      <c r="BH279" s="13"/>
      <c r="BI279" s="13"/>
      <c r="BJ279" s="13"/>
      <c r="BK279" s="13"/>
      <c r="BL279" s="13"/>
      <c r="BM279" s="13"/>
      <c r="BN279" s="13"/>
      <c r="BO279" s="13"/>
      <c r="BP279" s="18"/>
    </row>
    <row r="280">
      <c r="L280" s="16"/>
      <c r="M280" s="17"/>
      <c r="BG280" s="10"/>
      <c r="BH280" s="13"/>
      <c r="BI280" s="13"/>
      <c r="BJ280" s="13"/>
      <c r="BK280" s="13"/>
      <c r="BL280" s="13"/>
      <c r="BM280" s="13"/>
      <c r="BN280" s="13"/>
      <c r="BO280" s="13"/>
      <c r="BP280" s="18"/>
    </row>
    <row r="281">
      <c r="L281" s="16"/>
      <c r="M281" s="17"/>
      <c r="BG281" s="10"/>
      <c r="BH281" s="13"/>
      <c r="BI281" s="13"/>
      <c r="BJ281" s="13"/>
      <c r="BK281" s="13"/>
      <c r="BL281" s="13"/>
      <c r="BM281" s="13"/>
      <c r="BN281" s="13"/>
      <c r="BO281" s="13"/>
      <c r="BP281" s="18"/>
    </row>
    <row r="282">
      <c r="L282" s="16"/>
      <c r="M282" s="17"/>
      <c r="BG282" s="10"/>
      <c r="BH282" s="13"/>
      <c r="BI282" s="13"/>
      <c r="BJ282" s="13"/>
      <c r="BK282" s="13"/>
      <c r="BL282" s="13"/>
      <c r="BM282" s="13"/>
      <c r="BN282" s="13"/>
      <c r="BO282" s="13"/>
      <c r="BP282" s="18"/>
    </row>
    <row r="283">
      <c r="L283" s="16"/>
      <c r="M283" s="17"/>
      <c r="BG283" s="10"/>
      <c r="BH283" s="13"/>
      <c r="BI283" s="13"/>
      <c r="BJ283" s="13"/>
      <c r="BK283" s="13"/>
      <c r="BL283" s="13"/>
      <c r="BM283" s="13"/>
      <c r="BN283" s="13"/>
      <c r="BO283" s="13"/>
      <c r="BP283" s="18"/>
    </row>
    <row r="284">
      <c r="L284" s="16"/>
      <c r="M284" s="17"/>
      <c r="BG284" s="10"/>
      <c r="BH284" s="13"/>
      <c r="BI284" s="13"/>
      <c r="BJ284" s="13"/>
      <c r="BK284" s="13"/>
      <c r="BL284" s="13"/>
      <c r="BM284" s="13"/>
      <c r="BN284" s="13"/>
      <c r="BO284" s="13"/>
      <c r="BP284" s="18"/>
    </row>
    <row r="285">
      <c r="L285" s="16"/>
      <c r="M285" s="17"/>
      <c r="BG285" s="10"/>
      <c r="BH285" s="13"/>
      <c r="BI285" s="13"/>
      <c r="BJ285" s="13"/>
      <c r="BK285" s="13"/>
      <c r="BL285" s="13"/>
      <c r="BM285" s="13"/>
      <c r="BN285" s="13"/>
      <c r="BO285" s="13"/>
      <c r="BP285" s="18"/>
    </row>
    <row r="286">
      <c r="L286" s="16"/>
      <c r="M286" s="17"/>
      <c r="BG286" s="10"/>
      <c r="BH286" s="13"/>
      <c r="BI286" s="13"/>
      <c r="BJ286" s="13"/>
      <c r="BK286" s="13"/>
      <c r="BL286" s="13"/>
      <c r="BM286" s="13"/>
      <c r="BN286" s="13"/>
      <c r="BO286" s="13"/>
      <c r="BP286" s="18"/>
    </row>
    <row r="287">
      <c r="L287" s="16"/>
      <c r="M287" s="17"/>
      <c r="BG287" s="10"/>
      <c r="BH287" s="13"/>
      <c r="BI287" s="13"/>
      <c r="BJ287" s="13"/>
      <c r="BK287" s="13"/>
      <c r="BL287" s="13"/>
      <c r="BM287" s="13"/>
      <c r="BN287" s="13"/>
      <c r="BO287" s="13"/>
      <c r="BP287" s="18"/>
    </row>
    <row r="288">
      <c r="L288" s="16"/>
      <c r="M288" s="17"/>
      <c r="BG288" s="10"/>
      <c r="BH288" s="13"/>
      <c r="BI288" s="13"/>
      <c r="BJ288" s="13"/>
      <c r="BK288" s="13"/>
      <c r="BL288" s="13"/>
      <c r="BM288" s="13"/>
      <c r="BN288" s="13"/>
      <c r="BO288" s="13"/>
      <c r="BP288" s="18"/>
    </row>
    <row r="289">
      <c r="L289" s="16"/>
      <c r="M289" s="17"/>
      <c r="BG289" s="10"/>
      <c r="BH289" s="13"/>
      <c r="BI289" s="13"/>
      <c r="BJ289" s="13"/>
      <c r="BK289" s="13"/>
      <c r="BL289" s="13"/>
      <c r="BM289" s="13"/>
      <c r="BN289" s="13"/>
      <c r="BO289" s="13"/>
      <c r="BP289" s="18"/>
    </row>
    <row r="290">
      <c r="L290" s="16"/>
      <c r="M290" s="17"/>
      <c r="BG290" s="10"/>
      <c r="BH290" s="13"/>
      <c r="BI290" s="13"/>
      <c r="BJ290" s="13"/>
      <c r="BK290" s="13"/>
      <c r="BL290" s="13"/>
      <c r="BM290" s="13"/>
      <c r="BN290" s="13"/>
      <c r="BO290" s="13"/>
      <c r="BP290" s="18"/>
    </row>
    <row r="291">
      <c r="L291" s="16"/>
      <c r="M291" s="17"/>
      <c r="BG291" s="10"/>
      <c r="BH291" s="13"/>
      <c r="BI291" s="13"/>
      <c r="BJ291" s="13"/>
      <c r="BK291" s="13"/>
      <c r="BL291" s="13"/>
      <c r="BM291" s="13"/>
      <c r="BN291" s="13"/>
      <c r="BO291" s="13"/>
      <c r="BP291" s="18"/>
    </row>
    <row r="292">
      <c r="L292" s="16"/>
      <c r="M292" s="17"/>
      <c r="BG292" s="10"/>
      <c r="BH292" s="13"/>
      <c r="BI292" s="13"/>
      <c r="BJ292" s="13"/>
      <c r="BK292" s="13"/>
      <c r="BL292" s="13"/>
      <c r="BM292" s="13"/>
      <c r="BN292" s="13"/>
      <c r="BO292" s="13"/>
      <c r="BP292" s="18"/>
    </row>
    <row r="293">
      <c r="L293" s="16"/>
      <c r="M293" s="17"/>
      <c r="BG293" s="10"/>
      <c r="BH293" s="13"/>
      <c r="BI293" s="13"/>
      <c r="BJ293" s="13"/>
      <c r="BK293" s="13"/>
      <c r="BL293" s="13"/>
      <c r="BM293" s="13"/>
      <c r="BN293" s="13"/>
      <c r="BO293" s="13"/>
      <c r="BP293" s="18"/>
    </row>
    <row r="294">
      <c r="L294" s="16"/>
      <c r="M294" s="17"/>
      <c r="BG294" s="10"/>
      <c r="BH294" s="13"/>
      <c r="BI294" s="13"/>
      <c r="BJ294" s="13"/>
      <c r="BK294" s="13"/>
      <c r="BL294" s="13"/>
      <c r="BM294" s="13"/>
      <c r="BN294" s="13"/>
      <c r="BO294" s="13"/>
      <c r="BP294" s="18"/>
    </row>
    <row r="295">
      <c r="L295" s="16"/>
      <c r="M295" s="17"/>
      <c r="BG295" s="10"/>
      <c r="BH295" s="13"/>
      <c r="BI295" s="13"/>
      <c r="BJ295" s="13"/>
      <c r="BK295" s="13"/>
      <c r="BL295" s="13"/>
      <c r="BM295" s="13"/>
      <c r="BN295" s="13"/>
      <c r="BO295" s="13"/>
      <c r="BP295" s="18"/>
    </row>
    <row r="296">
      <c r="L296" s="16"/>
      <c r="M296" s="17"/>
      <c r="BG296" s="10"/>
      <c r="BH296" s="13"/>
      <c r="BI296" s="13"/>
      <c r="BJ296" s="13"/>
      <c r="BK296" s="13"/>
      <c r="BL296" s="13"/>
      <c r="BM296" s="13"/>
      <c r="BN296" s="13"/>
      <c r="BO296" s="13"/>
      <c r="BP296" s="18"/>
    </row>
    <row r="297">
      <c r="L297" s="16"/>
      <c r="M297" s="17"/>
      <c r="BG297" s="10"/>
      <c r="BH297" s="13"/>
      <c r="BI297" s="13"/>
      <c r="BJ297" s="13"/>
      <c r="BK297" s="13"/>
      <c r="BL297" s="13"/>
      <c r="BM297" s="13"/>
      <c r="BN297" s="13"/>
      <c r="BO297" s="13"/>
      <c r="BP297" s="18"/>
    </row>
    <row r="298">
      <c r="L298" s="16"/>
      <c r="M298" s="17"/>
      <c r="BG298" s="10"/>
      <c r="BH298" s="13"/>
      <c r="BI298" s="13"/>
      <c r="BJ298" s="13"/>
      <c r="BK298" s="13"/>
      <c r="BL298" s="13"/>
      <c r="BM298" s="13"/>
      <c r="BN298" s="13"/>
      <c r="BO298" s="13"/>
      <c r="BP298" s="18"/>
    </row>
    <row r="299">
      <c r="L299" s="16"/>
      <c r="M299" s="17"/>
      <c r="BG299" s="10"/>
      <c r="BH299" s="13"/>
      <c r="BI299" s="13"/>
      <c r="BJ299" s="13"/>
      <c r="BK299" s="13"/>
      <c r="BL299" s="13"/>
      <c r="BM299" s="13"/>
      <c r="BN299" s="13"/>
      <c r="BO299" s="13"/>
      <c r="BP299" s="18"/>
    </row>
    <row r="300">
      <c r="L300" s="16"/>
      <c r="M300" s="17"/>
      <c r="BG300" s="10"/>
      <c r="BH300" s="13"/>
      <c r="BI300" s="13"/>
      <c r="BJ300" s="13"/>
      <c r="BK300" s="13"/>
      <c r="BL300" s="13"/>
      <c r="BM300" s="13"/>
      <c r="BN300" s="13"/>
      <c r="BO300" s="13"/>
      <c r="BP300" s="18"/>
    </row>
    <row r="301">
      <c r="L301" s="16"/>
      <c r="M301" s="17"/>
      <c r="BG301" s="10"/>
      <c r="BH301" s="13"/>
      <c r="BI301" s="13"/>
      <c r="BJ301" s="13"/>
      <c r="BK301" s="13"/>
      <c r="BL301" s="13"/>
      <c r="BM301" s="13"/>
      <c r="BN301" s="13"/>
      <c r="BO301" s="13"/>
      <c r="BP301" s="18"/>
    </row>
    <row r="302">
      <c r="L302" s="16"/>
      <c r="M302" s="17"/>
      <c r="BG302" s="10"/>
      <c r="BH302" s="13"/>
      <c r="BI302" s="13"/>
      <c r="BJ302" s="13"/>
      <c r="BK302" s="13"/>
      <c r="BL302" s="13"/>
      <c r="BM302" s="13"/>
      <c r="BN302" s="13"/>
      <c r="BO302" s="13"/>
      <c r="BP302" s="18"/>
    </row>
    <row r="303">
      <c r="L303" s="16"/>
      <c r="M303" s="17"/>
      <c r="BG303" s="10"/>
      <c r="BH303" s="13"/>
      <c r="BI303" s="13"/>
      <c r="BJ303" s="13"/>
      <c r="BK303" s="13"/>
      <c r="BL303" s="13"/>
      <c r="BM303" s="13"/>
      <c r="BN303" s="13"/>
      <c r="BO303" s="13"/>
      <c r="BP303" s="18"/>
    </row>
    <row r="304">
      <c r="L304" s="16"/>
      <c r="M304" s="17"/>
      <c r="BG304" s="10"/>
      <c r="BH304" s="13"/>
      <c r="BI304" s="13"/>
      <c r="BJ304" s="13"/>
      <c r="BK304" s="13"/>
      <c r="BL304" s="13"/>
      <c r="BM304" s="13"/>
      <c r="BN304" s="13"/>
      <c r="BO304" s="13"/>
      <c r="BP304" s="18"/>
    </row>
    <row r="305">
      <c r="L305" s="16"/>
      <c r="M305" s="17"/>
      <c r="BG305" s="10"/>
      <c r="BH305" s="13"/>
      <c r="BI305" s="13"/>
      <c r="BJ305" s="13"/>
      <c r="BK305" s="13"/>
      <c r="BL305" s="13"/>
      <c r="BM305" s="13"/>
      <c r="BN305" s="13"/>
      <c r="BO305" s="13"/>
      <c r="BP305" s="18"/>
    </row>
    <row r="306">
      <c r="L306" s="16"/>
      <c r="M306" s="17"/>
      <c r="BG306" s="10"/>
      <c r="BH306" s="13"/>
      <c r="BI306" s="13"/>
      <c r="BJ306" s="13"/>
      <c r="BK306" s="13"/>
      <c r="BL306" s="13"/>
      <c r="BM306" s="13"/>
      <c r="BN306" s="13"/>
      <c r="BO306" s="13"/>
      <c r="BP306" s="18"/>
    </row>
    <row r="307">
      <c r="L307" s="16"/>
      <c r="M307" s="17"/>
      <c r="BG307" s="10"/>
      <c r="BH307" s="13"/>
      <c r="BI307" s="13"/>
      <c r="BJ307" s="13"/>
      <c r="BK307" s="13"/>
      <c r="BL307" s="13"/>
      <c r="BM307" s="13"/>
      <c r="BN307" s="13"/>
      <c r="BO307" s="13"/>
      <c r="BP307" s="18"/>
    </row>
    <row r="308">
      <c r="L308" s="16"/>
      <c r="M308" s="17"/>
      <c r="BG308" s="10"/>
      <c r="BH308" s="13"/>
      <c r="BI308" s="13"/>
      <c r="BJ308" s="13"/>
      <c r="BK308" s="13"/>
      <c r="BL308" s="13"/>
      <c r="BM308" s="13"/>
      <c r="BN308" s="13"/>
      <c r="BO308" s="13"/>
      <c r="BP308" s="18"/>
    </row>
    <row r="309">
      <c r="L309" s="16"/>
      <c r="M309" s="17"/>
      <c r="BG309" s="10"/>
      <c r="BH309" s="13"/>
      <c r="BI309" s="13"/>
      <c r="BJ309" s="13"/>
      <c r="BK309" s="13"/>
      <c r="BL309" s="13"/>
      <c r="BM309" s="13"/>
      <c r="BN309" s="13"/>
      <c r="BO309" s="13"/>
      <c r="BP309" s="18"/>
    </row>
    <row r="310">
      <c r="L310" s="16"/>
      <c r="M310" s="17"/>
      <c r="BG310" s="10"/>
      <c r="BH310" s="13"/>
      <c r="BI310" s="13"/>
      <c r="BJ310" s="13"/>
      <c r="BK310" s="13"/>
      <c r="BL310" s="13"/>
      <c r="BM310" s="13"/>
      <c r="BN310" s="13"/>
      <c r="BO310" s="13"/>
      <c r="BP310" s="18"/>
    </row>
    <row r="311">
      <c r="L311" s="16"/>
      <c r="M311" s="17"/>
      <c r="BG311" s="10"/>
      <c r="BH311" s="13"/>
      <c r="BI311" s="13"/>
      <c r="BJ311" s="13"/>
      <c r="BK311" s="13"/>
      <c r="BL311" s="13"/>
      <c r="BM311" s="13"/>
      <c r="BN311" s="13"/>
      <c r="BO311" s="13"/>
      <c r="BP311" s="18"/>
    </row>
    <row r="312">
      <c r="L312" s="16"/>
      <c r="M312" s="17"/>
      <c r="BG312" s="10"/>
      <c r="BH312" s="13"/>
      <c r="BI312" s="13"/>
      <c r="BJ312" s="13"/>
      <c r="BK312" s="13"/>
      <c r="BL312" s="13"/>
      <c r="BM312" s="13"/>
      <c r="BN312" s="13"/>
      <c r="BO312" s="13"/>
      <c r="BP312" s="18"/>
    </row>
    <row r="313">
      <c r="L313" s="16"/>
      <c r="M313" s="17"/>
      <c r="BG313" s="10"/>
      <c r="BH313" s="13"/>
      <c r="BI313" s="13"/>
      <c r="BJ313" s="13"/>
      <c r="BK313" s="13"/>
      <c r="BL313" s="13"/>
      <c r="BM313" s="13"/>
      <c r="BN313" s="13"/>
      <c r="BO313" s="13"/>
      <c r="BP313" s="18"/>
    </row>
    <row r="314">
      <c r="L314" s="16"/>
      <c r="M314" s="17"/>
      <c r="BG314" s="10"/>
      <c r="BH314" s="13"/>
      <c r="BI314" s="13"/>
      <c r="BJ314" s="13"/>
      <c r="BK314" s="13"/>
      <c r="BL314" s="13"/>
      <c r="BM314" s="13"/>
      <c r="BN314" s="13"/>
      <c r="BO314" s="13"/>
      <c r="BP314" s="18"/>
    </row>
    <row r="315">
      <c r="L315" s="16"/>
      <c r="M315" s="17"/>
      <c r="BG315" s="10"/>
      <c r="BH315" s="13"/>
      <c r="BI315" s="13"/>
      <c r="BJ315" s="13"/>
      <c r="BK315" s="13"/>
      <c r="BL315" s="13"/>
      <c r="BM315" s="13"/>
      <c r="BN315" s="13"/>
      <c r="BO315" s="13"/>
      <c r="BP315" s="18"/>
    </row>
    <row r="316">
      <c r="L316" s="16"/>
      <c r="M316" s="17"/>
      <c r="BG316" s="10"/>
      <c r="BH316" s="13"/>
      <c r="BI316" s="13"/>
      <c r="BJ316" s="13"/>
      <c r="BK316" s="13"/>
      <c r="BL316" s="13"/>
      <c r="BM316" s="13"/>
      <c r="BN316" s="13"/>
      <c r="BO316" s="13"/>
      <c r="BP316" s="18"/>
    </row>
    <row r="317">
      <c r="L317" s="16"/>
      <c r="M317" s="17"/>
      <c r="BG317" s="10"/>
      <c r="BH317" s="13"/>
      <c r="BI317" s="13"/>
      <c r="BJ317" s="13"/>
      <c r="BK317" s="13"/>
      <c r="BL317" s="13"/>
      <c r="BM317" s="13"/>
      <c r="BN317" s="13"/>
      <c r="BO317" s="13"/>
      <c r="BP317" s="18"/>
    </row>
    <row r="318">
      <c r="L318" s="16"/>
      <c r="M318" s="17"/>
      <c r="BG318" s="10"/>
      <c r="BH318" s="13"/>
      <c r="BI318" s="13"/>
      <c r="BJ318" s="13"/>
      <c r="BK318" s="13"/>
      <c r="BL318" s="13"/>
      <c r="BM318" s="13"/>
      <c r="BN318" s="13"/>
      <c r="BO318" s="13"/>
      <c r="BP318" s="18"/>
    </row>
    <row r="319">
      <c r="L319" s="16"/>
      <c r="M319" s="17"/>
      <c r="BG319" s="10"/>
      <c r="BH319" s="13"/>
      <c r="BI319" s="13"/>
      <c r="BJ319" s="13"/>
      <c r="BK319" s="13"/>
      <c r="BL319" s="13"/>
      <c r="BM319" s="13"/>
      <c r="BN319" s="13"/>
      <c r="BO319" s="13"/>
      <c r="BP319" s="18"/>
    </row>
    <row r="320">
      <c r="L320" s="16"/>
      <c r="M320" s="17"/>
      <c r="BG320" s="10"/>
      <c r="BH320" s="13"/>
      <c r="BI320" s="13"/>
      <c r="BJ320" s="13"/>
      <c r="BK320" s="13"/>
      <c r="BL320" s="13"/>
      <c r="BM320" s="13"/>
      <c r="BN320" s="13"/>
      <c r="BO320" s="13"/>
      <c r="BP320" s="18"/>
    </row>
    <row r="321">
      <c r="L321" s="16"/>
      <c r="M321" s="17"/>
      <c r="BG321" s="10"/>
      <c r="BH321" s="13"/>
      <c r="BI321" s="13"/>
      <c r="BJ321" s="13"/>
      <c r="BK321" s="13"/>
      <c r="BL321" s="13"/>
      <c r="BM321" s="13"/>
      <c r="BN321" s="13"/>
      <c r="BO321" s="13"/>
      <c r="BP321" s="18"/>
    </row>
    <row r="322">
      <c r="L322" s="16"/>
      <c r="M322" s="17"/>
      <c r="BG322" s="10"/>
      <c r="BH322" s="13"/>
      <c r="BI322" s="13"/>
      <c r="BJ322" s="13"/>
      <c r="BK322" s="13"/>
      <c r="BL322" s="13"/>
      <c r="BM322" s="13"/>
      <c r="BN322" s="13"/>
      <c r="BO322" s="13"/>
      <c r="BP322" s="18"/>
    </row>
    <row r="323">
      <c r="L323" s="16"/>
      <c r="M323" s="17"/>
      <c r="BG323" s="10"/>
      <c r="BH323" s="13"/>
      <c r="BI323" s="13"/>
      <c r="BJ323" s="13"/>
      <c r="BK323" s="13"/>
      <c r="BL323" s="13"/>
      <c r="BM323" s="13"/>
      <c r="BN323" s="13"/>
      <c r="BO323" s="13"/>
      <c r="BP323" s="18"/>
    </row>
    <row r="324">
      <c r="L324" s="16"/>
      <c r="M324" s="17"/>
      <c r="BG324" s="10"/>
      <c r="BH324" s="13"/>
      <c r="BI324" s="13"/>
      <c r="BJ324" s="13"/>
      <c r="BK324" s="13"/>
      <c r="BL324" s="13"/>
      <c r="BM324" s="13"/>
      <c r="BN324" s="13"/>
      <c r="BO324" s="13"/>
      <c r="BP324" s="18"/>
    </row>
    <row r="325">
      <c r="L325" s="16"/>
      <c r="M325" s="17"/>
      <c r="BG325" s="10"/>
      <c r="BH325" s="13"/>
      <c r="BI325" s="13"/>
      <c r="BJ325" s="13"/>
      <c r="BK325" s="13"/>
      <c r="BL325" s="13"/>
      <c r="BM325" s="13"/>
      <c r="BN325" s="13"/>
      <c r="BO325" s="13"/>
      <c r="BP325" s="18"/>
    </row>
    <row r="326">
      <c r="L326" s="16"/>
      <c r="M326" s="17"/>
      <c r="BG326" s="10"/>
      <c r="BH326" s="13"/>
      <c r="BI326" s="13"/>
      <c r="BJ326" s="13"/>
      <c r="BK326" s="13"/>
      <c r="BL326" s="13"/>
      <c r="BM326" s="13"/>
      <c r="BN326" s="13"/>
      <c r="BO326" s="13"/>
      <c r="BP326" s="18"/>
    </row>
    <row r="327">
      <c r="L327" s="16"/>
      <c r="M327" s="17"/>
      <c r="BG327" s="10"/>
      <c r="BH327" s="13"/>
      <c r="BI327" s="13"/>
      <c r="BJ327" s="13"/>
      <c r="BK327" s="13"/>
      <c r="BL327" s="13"/>
      <c r="BM327" s="13"/>
      <c r="BN327" s="13"/>
      <c r="BO327" s="13"/>
      <c r="BP327" s="18"/>
    </row>
    <row r="328">
      <c r="L328" s="16"/>
      <c r="M328" s="17"/>
      <c r="BG328" s="10"/>
      <c r="BH328" s="13"/>
      <c r="BI328" s="13"/>
      <c r="BJ328" s="13"/>
      <c r="BK328" s="13"/>
      <c r="BL328" s="13"/>
      <c r="BM328" s="13"/>
      <c r="BN328" s="13"/>
      <c r="BO328" s="13"/>
      <c r="BP328" s="18"/>
    </row>
    <row r="329">
      <c r="L329" s="16"/>
      <c r="M329" s="17"/>
      <c r="BG329" s="10"/>
      <c r="BH329" s="13"/>
      <c r="BI329" s="13"/>
      <c r="BJ329" s="13"/>
      <c r="BK329" s="13"/>
      <c r="BL329" s="13"/>
      <c r="BM329" s="13"/>
      <c r="BN329" s="13"/>
      <c r="BO329" s="13"/>
      <c r="BP329" s="18"/>
    </row>
    <row r="330">
      <c r="L330" s="16"/>
      <c r="M330" s="17"/>
      <c r="BG330" s="10"/>
      <c r="BH330" s="13"/>
      <c r="BI330" s="13"/>
      <c r="BJ330" s="13"/>
      <c r="BK330" s="13"/>
      <c r="BL330" s="13"/>
      <c r="BM330" s="13"/>
      <c r="BN330" s="13"/>
      <c r="BO330" s="13"/>
      <c r="BP330" s="18"/>
    </row>
    <row r="331">
      <c r="L331" s="16"/>
      <c r="M331" s="17"/>
      <c r="BG331" s="10"/>
      <c r="BH331" s="13"/>
      <c r="BI331" s="13"/>
      <c r="BJ331" s="13"/>
      <c r="BK331" s="13"/>
      <c r="BL331" s="13"/>
      <c r="BM331" s="13"/>
      <c r="BN331" s="13"/>
      <c r="BO331" s="13"/>
      <c r="BP331" s="18"/>
    </row>
    <row r="332">
      <c r="L332" s="16"/>
      <c r="M332" s="17"/>
      <c r="BG332" s="10"/>
      <c r="BH332" s="13"/>
      <c r="BI332" s="13"/>
      <c r="BJ332" s="13"/>
      <c r="BK332" s="13"/>
      <c r="BL332" s="13"/>
      <c r="BM332" s="13"/>
      <c r="BN332" s="13"/>
      <c r="BO332" s="13"/>
      <c r="BP332" s="18"/>
    </row>
    <row r="333">
      <c r="L333" s="16"/>
      <c r="M333" s="17"/>
      <c r="BG333" s="10"/>
      <c r="BH333" s="13"/>
      <c r="BI333" s="13"/>
      <c r="BJ333" s="13"/>
      <c r="BK333" s="13"/>
      <c r="BL333" s="13"/>
      <c r="BM333" s="13"/>
      <c r="BN333" s="13"/>
      <c r="BO333" s="13"/>
      <c r="BP333" s="18"/>
    </row>
    <row r="334">
      <c r="L334" s="16"/>
      <c r="M334" s="17"/>
      <c r="BG334" s="10"/>
      <c r="BH334" s="13"/>
      <c r="BI334" s="13"/>
      <c r="BJ334" s="13"/>
      <c r="BK334" s="13"/>
      <c r="BL334" s="13"/>
      <c r="BM334" s="13"/>
      <c r="BN334" s="13"/>
      <c r="BO334" s="13"/>
      <c r="BP334" s="18"/>
    </row>
    <row r="335">
      <c r="L335" s="16"/>
      <c r="M335" s="17"/>
      <c r="BG335" s="10"/>
      <c r="BH335" s="13"/>
      <c r="BI335" s="13"/>
      <c r="BJ335" s="13"/>
      <c r="BK335" s="13"/>
      <c r="BL335" s="13"/>
      <c r="BM335" s="13"/>
      <c r="BN335" s="13"/>
      <c r="BO335" s="13"/>
      <c r="BP335" s="18"/>
    </row>
    <row r="336">
      <c r="L336" s="16"/>
      <c r="M336" s="17"/>
      <c r="BG336" s="10"/>
      <c r="BH336" s="13"/>
      <c r="BI336" s="13"/>
      <c r="BJ336" s="13"/>
      <c r="BK336" s="13"/>
      <c r="BL336" s="13"/>
      <c r="BM336" s="13"/>
      <c r="BN336" s="13"/>
      <c r="BO336" s="13"/>
      <c r="BP336" s="18"/>
    </row>
    <row r="337">
      <c r="L337" s="16"/>
      <c r="M337" s="17"/>
      <c r="BG337" s="10"/>
      <c r="BH337" s="13"/>
      <c r="BI337" s="13"/>
      <c r="BJ337" s="13"/>
      <c r="BK337" s="13"/>
      <c r="BL337" s="13"/>
      <c r="BM337" s="13"/>
      <c r="BN337" s="13"/>
      <c r="BO337" s="13"/>
      <c r="BP337" s="18"/>
    </row>
    <row r="338">
      <c r="L338" s="16"/>
      <c r="M338" s="17"/>
      <c r="BG338" s="10"/>
      <c r="BH338" s="13"/>
      <c r="BI338" s="13"/>
      <c r="BJ338" s="13"/>
      <c r="BK338" s="13"/>
      <c r="BL338" s="13"/>
      <c r="BM338" s="13"/>
      <c r="BN338" s="13"/>
      <c r="BO338" s="13"/>
      <c r="BP338" s="18"/>
    </row>
    <row r="339">
      <c r="L339" s="16"/>
      <c r="M339" s="17"/>
      <c r="BG339" s="10"/>
      <c r="BH339" s="13"/>
      <c r="BI339" s="13"/>
      <c r="BJ339" s="13"/>
      <c r="BK339" s="13"/>
      <c r="BL339" s="13"/>
      <c r="BM339" s="13"/>
      <c r="BN339" s="13"/>
      <c r="BO339" s="13"/>
      <c r="BP339" s="18"/>
    </row>
    <row r="340">
      <c r="L340" s="16"/>
      <c r="M340" s="17"/>
      <c r="BG340" s="10"/>
      <c r="BH340" s="13"/>
      <c r="BI340" s="13"/>
      <c r="BJ340" s="13"/>
      <c r="BK340" s="13"/>
      <c r="BL340" s="13"/>
      <c r="BM340" s="13"/>
      <c r="BN340" s="13"/>
      <c r="BO340" s="13"/>
      <c r="BP340" s="18"/>
    </row>
    <row r="341">
      <c r="L341" s="16"/>
      <c r="M341" s="17"/>
      <c r="BG341" s="10"/>
      <c r="BH341" s="13"/>
      <c r="BI341" s="13"/>
      <c r="BJ341" s="13"/>
      <c r="BK341" s="13"/>
      <c r="BL341" s="13"/>
      <c r="BM341" s="13"/>
      <c r="BN341" s="13"/>
      <c r="BO341" s="13"/>
      <c r="BP341" s="18"/>
    </row>
    <row r="342">
      <c r="L342" s="16"/>
      <c r="M342" s="17"/>
      <c r="BG342" s="10"/>
      <c r="BH342" s="13"/>
      <c r="BI342" s="13"/>
      <c r="BJ342" s="13"/>
      <c r="BK342" s="13"/>
      <c r="BL342" s="13"/>
      <c r="BM342" s="13"/>
      <c r="BN342" s="13"/>
      <c r="BO342" s="13"/>
      <c r="BP342" s="18"/>
    </row>
    <row r="343">
      <c r="L343" s="16"/>
      <c r="M343" s="17"/>
      <c r="BG343" s="10"/>
      <c r="BH343" s="13"/>
      <c r="BI343" s="13"/>
      <c r="BJ343" s="13"/>
      <c r="BK343" s="13"/>
      <c r="BL343" s="13"/>
      <c r="BM343" s="13"/>
      <c r="BN343" s="13"/>
      <c r="BO343" s="13"/>
      <c r="BP343" s="18"/>
    </row>
    <row r="344">
      <c r="L344" s="16"/>
      <c r="M344" s="17"/>
      <c r="BG344" s="10"/>
      <c r="BH344" s="13"/>
      <c r="BI344" s="13"/>
      <c r="BJ344" s="13"/>
      <c r="BK344" s="13"/>
      <c r="BL344" s="13"/>
      <c r="BM344" s="13"/>
      <c r="BN344" s="13"/>
      <c r="BO344" s="13"/>
      <c r="BP344" s="18"/>
    </row>
    <row r="345">
      <c r="L345" s="16"/>
      <c r="M345" s="17"/>
      <c r="BG345" s="10"/>
      <c r="BH345" s="13"/>
      <c r="BI345" s="13"/>
      <c r="BJ345" s="13"/>
      <c r="BK345" s="13"/>
      <c r="BL345" s="13"/>
      <c r="BM345" s="13"/>
      <c r="BN345" s="13"/>
      <c r="BO345" s="13"/>
      <c r="BP345" s="18"/>
    </row>
    <row r="346">
      <c r="L346" s="16"/>
      <c r="M346" s="17"/>
      <c r="BG346" s="10"/>
      <c r="BH346" s="13"/>
      <c r="BI346" s="13"/>
      <c r="BJ346" s="13"/>
      <c r="BK346" s="13"/>
      <c r="BL346" s="13"/>
      <c r="BM346" s="13"/>
      <c r="BN346" s="13"/>
      <c r="BO346" s="13"/>
      <c r="BP346" s="18"/>
    </row>
    <row r="347">
      <c r="L347" s="16"/>
      <c r="M347" s="17"/>
      <c r="BG347" s="10"/>
      <c r="BH347" s="13"/>
      <c r="BI347" s="13"/>
      <c r="BJ347" s="13"/>
      <c r="BK347" s="13"/>
      <c r="BL347" s="13"/>
      <c r="BM347" s="13"/>
      <c r="BN347" s="13"/>
      <c r="BO347" s="13"/>
      <c r="BP347" s="18"/>
    </row>
    <row r="348">
      <c r="L348" s="16"/>
      <c r="M348" s="17"/>
      <c r="BG348" s="10"/>
      <c r="BH348" s="13"/>
      <c r="BI348" s="13"/>
      <c r="BJ348" s="13"/>
      <c r="BK348" s="13"/>
      <c r="BL348" s="13"/>
      <c r="BM348" s="13"/>
      <c r="BN348" s="13"/>
      <c r="BO348" s="13"/>
      <c r="BP348" s="18"/>
    </row>
    <row r="349">
      <c r="L349" s="16"/>
      <c r="M349" s="17"/>
      <c r="BG349" s="10"/>
      <c r="BH349" s="13"/>
      <c r="BI349" s="13"/>
      <c r="BJ349" s="13"/>
      <c r="BK349" s="13"/>
      <c r="BL349" s="13"/>
      <c r="BM349" s="13"/>
      <c r="BN349" s="13"/>
      <c r="BO349" s="13"/>
      <c r="BP349" s="18"/>
    </row>
    <row r="350">
      <c r="L350" s="16"/>
      <c r="M350" s="17"/>
      <c r="BG350" s="10"/>
      <c r="BH350" s="13"/>
      <c r="BI350" s="13"/>
      <c r="BJ350" s="13"/>
      <c r="BK350" s="13"/>
      <c r="BL350" s="13"/>
      <c r="BM350" s="13"/>
      <c r="BN350" s="13"/>
      <c r="BO350" s="13"/>
      <c r="BP350" s="18"/>
    </row>
    <row r="351">
      <c r="L351" s="16"/>
      <c r="M351" s="17"/>
      <c r="BG351" s="10"/>
      <c r="BH351" s="13"/>
      <c r="BI351" s="13"/>
      <c r="BJ351" s="13"/>
      <c r="BK351" s="13"/>
      <c r="BL351" s="13"/>
      <c r="BM351" s="13"/>
      <c r="BN351" s="13"/>
      <c r="BO351" s="13"/>
      <c r="BP351" s="18"/>
    </row>
    <row r="352">
      <c r="L352" s="16"/>
      <c r="M352" s="17"/>
      <c r="BG352" s="10"/>
      <c r="BH352" s="13"/>
      <c r="BI352" s="13"/>
      <c r="BJ352" s="13"/>
      <c r="BK352" s="13"/>
      <c r="BL352" s="13"/>
      <c r="BM352" s="13"/>
      <c r="BN352" s="13"/>
      <c r="BO352" s="13"/>
      <c r="BP352" s="18"/>
    </row>
    <row r="353">
      <c r="L353" s="16"/>
      <c r="M353" s="17"/>
      <c r="BG353" s="10"/>
      <c r="BH353" s="13"/>
      <c r="BI353" s="13"/>
      <c r="BJ353" s="13"/>
      <c r="BK353" s="13"/>
      <c r="BL353" s="13"/>
      <c r="BM353" s="13"/>
      <c r="BN353" s="13"/>
      <c r="BO353" s="13"/>
      <c r="BP353" s="18"/>
    </row>
    <row r="354">
      <c r="L354" s="16"/>
      <c r="M354" s="17"/>
      <c r="BG354" s="10"/>
      <c r="BH354" s="13"/>
      <c r="BI354" s="13"/>
      <c r="BJ354" s="13"/>
      <c r="BK354" s="13"/>
      <c r="BL354" s="13"/>
      <c r="BM354" s="13"/>
      <c r="BN354" s="13"/>
      <c r="BO354" s="13"/>
      <c r="BP354" s="18"/>
    </row>
    <row r="355">
      <c r="L355" s="16"/>
      <c r="M355" s="17"/>
      <c r="BG355" s="10"/>
      <c r="BH355" s="13"/>
      <c r="BI355" s="13"/>
      <c r="BJ355" s="13"/>
      <c r="BK355" s="13"/>
      <c r="BL355" s="13"/>
      <c r="BM355" s="13"/>
      <c r="BN355" s="13"/>
      <c r="BO355" s="13"/>
      <c r="BP355" s="18"/>
    </row>
    <row r="356">
      <c r="L356" s="16"/>
      <c r="M356" s="17"/>
      <c r="BG356" s="10"/>
      <c r="BH356" s="13"/>
      <c r="BI356" s="13"/>
      <c r="BJ356" s="13"/>
      <c r="BK356" s="13"/>
      <c r="BL356" s="13"/>
      <c r="BM356" s="13"/>
      <c r="BN356" s="13"/>
      <c r="BO356" s="13"/>
      <c r="BP356" s="18"/>
    </row>
    <row r="357">
      <c r="L357" s="16"/>
      <c r="M357" s="17"/>
      <c r="BG357" s="10"/>
      <c r="BH357" s="13"/>
      <c r="BI357" s="13"/>
      <c r="BJ357" s="13"/>
      <c r="BK357" s="13"/>
      <c r="BL357" s="13"/>
      <c r="BM357" s="13"/>
      <c r="BN357" s="13"/>
      <c r="BO357" s="13"/>
      <c r="BP357" s="18"/>
    </row>
    <row r="358">
      <c r="L358" s="16"/>
      <c r="M358" s="17"/>
      <c r="BG358" s="10"/>
      <c r="BH358" s="13"/>
      <c r="BI358" s="13"/>
      <c r="BJ358" s="13"/>
      <c r="BK358" s="13"/>
      <c r="BL358" s="13"/>
      <c r="BM358" s="13"/>
      <c r="BN358" s="13"/>
      <c r="BO358" s="13"/>
      <c r="BP358" s="18"/>
    </row>
    <row r="359">
      <c r="L359" s="16"/>
      <c r="M359" s="17"/>
      <c r="BG359" s="10"/>
      <c r="BH359" s="13"/>
      <c r="BI359" s="13"/>
      <c r="BJ359" s="13"/>
      <c r="BK359" s="13"/>
      <c r="BL359" s="13"/>
      <c r="BM359" s="13"/>
      <c r="BN359" s="13"/>
      <c r="BO359" s="13"/>
      <c r="BP359" s="18"/>
    </row>
    <row r="360">
      <c r="L360" s="16"/>
      <c r="M360" s="17"/>
      <c r="BG360" s="10"/>
      <c r="BH360" s="13"/>
      <c r="BI360" s="13"/>
      <c r="BJ360" s="13"/>
      <c r="BK360" s="13"/>
      <c r="BL360" s="13"/>
      <c r="BM360" s="13"/>
      <c r="BN360" s="13"/>
      <c r="BO360" s="13"/>
      <c r="BP360" s="18"/>
    </row>
    <row r="361">
      <c r="L361" s="16"/>
      <c r="M361" s="17"/>
      <c r="BG361" s="10"/>
      <c r="BH361" s="13"/>
      <c r="BI361" s="13"/>
      <c r="BJ361" s="13"/>
      <c r="BK361" s="13"/>
      <c r="BL361" s="13"/>
      <c r="BM361" s="13"/>
      <c r="BN361" s="13"/>
      <c r="BO361" s="13"/>
      <c r="BP361" s="18"/>
    </row>
    <row r="362">
      <c r="L362" s="16"/>
      <c r="M362" s="17"/>
      <c r="BG362" s="10"/>
      <c r="BH362" s="13"/>
      <c r="BI362" s="13"/>
      <c r="BJ362" s="13"/>
      <c r="BK362" s="13"/>
      <c r="BL362" s="13"/>
      <c r="BM362" s="13"/>
      <c r="BN362" s="13"/>
      <c r="BO362" s="13"/>
      <c r="BP362" s="18"/>
    </row>
    <row r="363">
      <c r="L363" s="16"/>
      <c r="M363" s="17"/>
      <c r="BG363" s="10"/>
      <c r="BH363" s="13"/>
      <c r="BI363" s="13"/>
      <c r="BJ363" s="13"/>
      <c r="BK363" s="13"/>
      <c r="BL363" s="13"/>
      <c r="BM363" s="13"/>
      <c r="BN363" s="13"/>
      <c r="BO363" s="13"/>
      <c r="BP363" s="18"/>
    </row>
    <row r="364">
      <c r="L364" s="16"/>
      <c r="M364" s="17"/>
      <c r="BG364" s="10"/>
      <c r="BH364" s="13"/>
      <c r="BI364" s="13"/>
      <c r="BJ364" s="13"/>
      <c r="BK364" s="13"/>
      <c r="BL364" s="13"/>
      <c r="BM364" s="13"/>
      <c r="BN364" s="13"/>
      <c r="BO364" s="13"/>
      <c r="BP364" s="18"/>
    </row>
    <row r="365">
      <c r="L365" s="16"/>
      <c r="M365" s="17"/>
      <c r="BG365" s="10"/>
      <c r="BH365" s="13"/>
      <c r="BI365" s="13"/>
      <c r="BJ365" s="13"/>
      <c r="BK365" s="13"/>
      <c r="BL365" s="13"/>
      <c r="BM365" s="13"/>
      <c r="BN365" s="13"/>
      <c r="BO365" s="13"/>
      <c r="BP365" s="18"/>
    </row>
    <row r="366">
      <c r="L366" s="16"/>
      <c r="M366" s="17"/>
      <c r="BG366" s="10"/>
      <c r="BH366" s="13"/>
      <c r="BI366" s="13"/>
      <c r="BJ366" s="13"/>
      <c r="BK366" s="13"/>
      <c r="BL366" s="13"/>
      <c r="BM366" s="13"/>
      <c r="BN366" s="13"/>
      <c r="BO366" s="13"/>
      <c r="BP366" s="18"/>
    </row>
    <row r="367">
      <c r="L367" s="16"/>
      <c r="M367" s="17"/>
      <c r="BG367" s="10"/>
      <c r="BH367" s="13"/>
      <c r="BI367" s="13"/>
      <c r="BJ367" s="13"/>
      <c r="BK367" s="13"/>
      <c r="BL367" s="13"/>
      <c r="BM367" s="13"/>
      <c r="BN367" s="13"/>
      <c r="BO367" s="13"/>
      <c r="BP367" s="18"/>
    </row>
    <row r="368">
      <c r="L368" s="16"/>
      <c r="M368" s="17"/>
      <c r="BG368" s="10"/>
      <c r="BH368" s="13"/>
      <c r="BI368" s="13"/>
      <c r="BJ368" s="13"/>
      <c r="BK368" s="13"/>
      <c r="BL368" s="13"/>
      <c r="BM368" s="13"/>
      <c r="BN368" s="13"/>
      <c r="BO368" s="13"/>
      <c r="BP368" s="18"/>
    </row>
    <row r="369">
      <c r="L369" s="16"/>
      <c r="M369" s="17"/>
      <c r="BG369" s="10"/>
      <c r="BH369" s="13"/>
      <c r="BI369" s="13"/>
      <c r="BJ369" s="13"/>
      <c r="BK369" s="13"/>
      <c r="BL369" s="13"/>
      <c r="BM369" s="13"/>
      <c r="BN369" s="13"/>
      <c r="BO369" s="13"/>
      <c r="BP369" s="18"/>
    </row>
    <row r="370">
      <c r="L370" s="16"/>
      <c r="M370" s="17"/>
      <c r="BG370" s="10"/>
      <c r="BH370" s="13"/>
      <c r="BI370" s="13"/>
      <c r="BJ370" s="13"/>
      <c r="BK370" s="13"/>
      <c r="BL370" s="13"/>
      <c r="BM370" s="13"/>
      <c r="BN370" s="13"/>
      <c r="BO370" s="13"/>
      <c r="BP370" s="18"/>
    </row>
    <row r="371">
      <c r="L371" s="16"/>
      <c r="M371" s="17"/>
      <c r="BG371" s="10"/>
      <c r="BH371" s="13"/>
      <c r="BI371" s="13"/>
      <c r="BJ371" s="13"/>
      <c r="BK371" s="13"/>
      <c r="BL371" s="13"/>
      <c r="BM371" s="13"/>
      <c r="BN371" s="13"/>
      <c r="BO371" s="13"/>
      <c r="BP371" s="18"/>
    </row>
    <row r="372">
      <c r="L372" s="16"/>
      <c r="M372" s="17"/>
      <c r="BG372" s="10"/>
      <c r="BH372" s="13"/>
      <c r="BI372" s="13"/>
      <c r="BJ372" s="13"/>
      <c r="BK372" s="13"/>
      <c r="BL372" s="13"/>
      <c r="BM372" s="13"/>
      <c r="BN372" s="13"/>
      <c r="BO372" s="13"/>
      <c r="BP372" s="18"/>
    </row>
    <row r="373">
      <c r="L373" s="16"/>
      <c r="M373" s="17"/>
      <c r="BG373" s="10"/>
      <c r="BH373" s="13"/>
      <c r="BI373" s="13"/>
      <c r="BJ373" s="13"/>
      <c r="BK373" s="13"/>
      <c r="BL373" s="13"/>
      <c r="BM373" s="13"/>
      <c r="BN373" s="13"/>
      <c r="BO373" s="13"/>
      <c r="BP373" s="18"/>
    </row>
    <row r="374">
      <c r="L374" s="16"/>
      <c r="M374" s="17"/>
      <c r="BG374" s="10"/>
      <c r="BH374" s="13"/>
      <c r="BI374" s="13"/>
      <c r="BJ374" s="13"/>
      <c r="BK374" s="13"/>
      <c r="BL374" s="13"/>
      <c r="BM374" s="13"/>
      <c r="BN374" s="13"/>
      <c r="BO374" s="13"/>
      <c r="BP374" s="18"/>
    </row>
    <row r="375">
      <c r="L375" s="16"/>
      <c r="M375" s="17"/>
      <c r="BG375" s="10"/>
      <c r="BH375" s="13"/>
      <c r="BI375" s="13"/>
      <c r="BJ375" s="13"/>
      <c r="BK375" s="13"/>
      <c r="BL375" s="13"/>
      <c r="BM375" s="13"/>
      <c r="BN375" s="13"/>
      <c r="BO375" s="13"/>
      <c r="BP375" s="18"/>
    </row>
    <row r="376">
      <c r="L376" s="16"/>
      <c r="M376" s="17"/>
      <c r="BG376" s="10"/>
      <c r="BH376" s="13"/>
      <c r="BI376" s="13"/>
      <c r="BJ376" s="13"/>
      <c r="BK376" s="13"/>
      <c r="BL376" s="13"/>
      <c r="BM376" s="13"/>
      <c r="BN376" s="13"/>
      <c r="BO376" s="13"/>
      <c r="BP376" s="18"/>
    </row>
    <row r="377">
      <c r="L377" s="16"/>
      <c r="M377" s="17"/>
      <c r="BG377" s="10"/>
      <c r="BH377" s="13"/>
      <c r="BI377" s="13"/>
      <c r="BJ377" s="13"/>
      <c r="BK377" s="13"/>
      <c r="BL377" s="13"/>
      <c r="BM377" s="13"/>
      <c r="BN377" s="13"/>
      <c r="BO377" s="13"/>
      <c r="BP377" s="18"/>
    </row>
    <row r="378">
      <c r="L378" s="16"/>
      <c r="M378" s="17"/>
      <c r="BG378" s="10"/>
      <c r="BH378" s="13"/>
      <c r="BI378" s="13"/>
      <c r="BJ378" s="13"/>
      <c r="BK378" s="13"/>
      <c r="BL378" s="13"/>
      <c r="BM378" s="13"/>
      <c r="BN378" s="13"/>
      <c r="BO378" s="13"/>
      <c r="BP378" s="18"/>
    </row>
    <row r="379">
      <c r="L379" s="16"/>
      <c r="M379" s="17"/>
      <c r="BG379" s="10"/>
      <c r="BH379" s="13"/>
      <c r="BI379" s="13"/>
      <c r="BJ379" s="13"/>
      <c r="BK379" s="13"/>
      <c r="BL379" s="13"/>
      <c r="BM379" s="13"/>
      <c r="BN379" s="13"/>
      <c r="BO379" s="13"/>
      <c r="BP379" s="18"/>
    </row>
    <row r="380">
      <c r="L380" s="16"/>
      <c r="M380" s="17"/>
      <c r="BG380" s="10"/>
      <c r="BH380" s="13"/>
      <c r="BI380" s="13"/>
      <c r="BJ380" s="13"/>
      <c r="BK380" s="13"/>
      <c r="BL380" s="13"/>
      <c r="BM380" s="13"/>
      <c r="BN380" s="13"/>
      <c r="BO380" s="13"/>
      <c r="BP380" s="18"/>
    </row>
    <row r="381">
      <c r="L381" s="16"/>
      <c r="M381" s="17"/>
      <c r="BG381" s="10"/>
      <c r="BH381" s="13"/>
      <c r="BI381" s="13"/>
      <c r="BJ381" s="13"/>
      <c r="BK381" s="13"/>
      <c r="BL381" s="13"/>
      <c r="BM381" s="13"/>
      <c r="BN381" s="13"/>
      <c r="BO381" s="13"/>
      <c r="BP381" s="18"/>
    </row>
    <row r="382">
      <c r="L382" s="16"/>
      <c r="M382" s="17"/>
      <c r="BG382" s="10"/>
      <c r="BH382" s="13"/>
      <c r="BI382" s="13"/>
      <c r="BJ382" s="13"/>
      <c r="BK382" s="13"/>
      <c r="BL382" s="13"/>
      <c r="BM382" s="13"/>
      <c r="BN382" s="13"/>
      <c r="BO382" s="13"/>
      <c r="BP382" s="18"/>
    </row>
    <row r="383">
      <c r="L383" s="16"/>
      <c r="M383" s="17"/>
      <c r="BG383" s="10"/>
      <c r="BH383" s="13"/>
      <c r="BI383" s="13"/>
      <c r="BJ383" s="13"/>
      <c r="BK383" s="13"/>
      <c r="BL383" s="13"/>
      <c r="BM383" s="13"/>
      <c r="BN383" s="13"/>
      <c r="BO383" s="13"/>
      <c r="BP383" s="18"/>
    </row>
    <row r="384">
      <c r="L384" s="16"/>
      <c r="M384" s="17"/>
      <c r="BG384" s="10"/>
      <c r="BH384" s="13"/>
      <c r="BI384" s="13"/>
      <c r="BJ384" s="13"/>
      <c r="BK384" s="13"/>
      <c r="BL384" s="13"/>
      <c r="BM384" s="13"/>
      <c r="BN384" s="13"/>
      <c r="BO384" s="13"/>
      <c r="BP384" s="18"/>
    </row>
    <row r="385">
      <c r="L385" s="16"/>
      <c r="M385" s="17"/>
      <c r="BG385" s="10"/>
      <c r="BH385" s="13"/>
      <c r="BI385" s="13"/>
      <c r="BJ385" s="13"/>
      <c r="BK385" s="13"/>
      <c r="BL385" s="13"/>
      <c r="BM385" s="13"/>
      <c r="BN385" s="13"/>
      <c r="BO385" s="13"/>
      <c r="BP385" s="18"/>
    </row>
    <row r="386">
      <c r="L386" s="16"/>
      <c r="M386" s="17"/>
      <c r="BG386" s="10"/>
      <c r="BH386" s="13"/>
      <c r="BI386" s="13"/>
      <c r="BJ386" s="13"/>
      <c r="BK386" s="13"/>
      <c r="BL386" s="13"/>
      <c r="BM386" s="13"/>
      <c r="BN386" s="13"/>
      <c r="BO386" s="13"/>
      <c r="BP386" s="18"/>
    </row>
    <row r="387">
      <c r="L387" s="16"/>
      <c r="M387" s="17"/>
      <c r="BG387" s="10"/>
      <c r="BH387" s="13"/>
      <c r="BI387" s="13"/>
      <c r="BJ387" s="13"/>
      <c r="BK387" s="13"/>
      <c r="BL387" s="13"/>
      <c r="BM387" s="13"/>
      <c r="BN387" s="13"/>
      <c r="BO387" s="13"/>
      <c r="BP387" s="18"/>
    </row>
    <row r="388">
      <c r="L388" s="16"/>
      <c r="M388" s="17"/>
      <c r="BG388" s="10"/>
      <c r="BH388" s="13"/>
      <c r="BI388" s="13"/>
      <c r="BJ388" s="13"/>
      <c r="BK388" s="13"/>
      <c r="BL388" s="13"/>
      <c r="BM388" s="13"/>
      <c r="BN388" s="13"/>
      <c r="BO388" s="13"/>
      <c r="BP388" s="18"/>
    </row>
    <row r="389">
      <c r="L389" s="16"/>
      <c r="M389" s="17"/>
      <c r="BG389" s="10"/>
      <c r="BH389" s="13"/>
      <c r="BI389" s="13"/>
      <c r="BJ389" s="13"/>
      <c r="BK389" s="13"/>
      <c r="BL389" s="13"/>
      <c r="BM389" s="13"/>
      <c r="BN389" s="13"/>
      <c r="BO389" s="13"/>
      <c r="BP389" s="18"/>
    </row>
    <row r="390">
      <c r="L390" s="16"/>
      <c r="M390" s="17"/>
      <c r="BG390" s="10"/>
      <c r="BH390" s="13"/>
      <c r="BI390" s="13"/>
      <c r="BJ390" s="13"/>
      <c r="BK390" s="13"/>
      <c r="BL390" s="13"/>
      <c r="BM390" s="13"/>
      <c r="BN390" s="13"/>
      <c r="BO390" s="13"/>
      <c r="BP390" s="18"/>
    </row>
    <row r="391">
      <c r="L391" s="16"/>
      <c r="M391" s="17"/>
      <c r="BG391" s="10"/>
      <c r="BH391" s="13"/>
      <c r="BI391" s="13"/>
      <c r="BJ391" s="13"/>
      <c r="BK391" s="13"/>
      <c r="BL391" s="13"/>
      <c r="BM391" s="13"/>
      <c r="BN391" s="13"/>
      <c r="BO391" s="13"/>
      <c r="BP391" s="18"/>
    </row>
    <row r="392">
      <c r="L392" s="16"/>
      <c r="M392" s="17"/>
      <c r="BG392" s="10"/>
      <c r="BH392" s="13"/>
      <c r="BI392" s="13"/>
      <c r="BJ392" s="13"/>
      <c r="BK392" s="13"/>
      <c r="BL392" s="13"/>
      <c r="BM392" s="13"/>
      <c r="BN392" s="13"/>
      <c r="BO392" s="13"/>
      <c r="BP392" s="18"/>
    </row>
    <row r="393">
      <c r="L393" s="16"/>
      <c r="M393" s="17"/>
      <c r="BG393" s="10"/>
      <c r="BH393" s="13"/>
      <c r="BI393" s="13"/>
      <c r="BJ393" s="13"/>
      <c r="BK393" s="13"/>
      <c r="BL393" s="13"/>
      <c r="BM393" s="13"/>
      <c r="BN393" s="13"/>
      <c r="BO393" s="13"/>
      <c r="BP393" s="18"/>
    </row>
    <row r="394">
      <c r="L394" s="16"/>
      <c r="M394" s="17"/>
      <c r="BG394" s="10"/>
      <c r="BH394" s="13"/>
      <c r="BI394" s="13"/>
      <c r="BJ394" s="13"/>
      <c r="BK394" s="13"/>
      <c r="BL394" s="13"/>
      <c r="BM394" s="13"/>
      <c r="BN394" s="13"/>
      <c r="BO394" s="13"/>
      <c r="BP394" s="18"/>
    </row>
    <row r="395">
      <c r="L395" s="16"/>
      <c r="M395" s="17"/>
      <c r="BG395" s="10"/>
      <c r="BH395" s="13"/>
      <c r="BI395" s="13"/>
      <c r="BJ395" s="13"/>
      <c r="BK395" s="13"/>
      <c r="BL395" s="13"/>
      <c r="BM395" s="13"/>
      <c r="BN395" s="13"/>
      <c r="BO395" s="13"/>
      <c r="BP395" s="18"/>
    </row>
    <row r="396">
      <c r="L396" s="16"/>
      <c r="M396" s="17"/>
      <c r="BG396" s="10"/>
      <c r="BH396" s="13"/>
      <c r="BI396" s="13"/>
      <c r="BJ396" s="13"/>
      <c r="BK396" s="13"/>
      <c r="BL396" s="13"/>
      <c r="BM396" s="13"/>
      <c r="BN396" s="13"/>
      <c r="BO396" s="13"/>
      <c r="BP396" s="18"/>
    </row>
    <row r="397">
      <c r="L397" s="16"/>
      <c r="M397" s="17"/>
      <c r="BG397" s="10"/>
      <c r="BH397" s="13"/>
      <c r="BI397" s="13"/>
      <c r="BJ397" s="13"/>
      <c r="BK397" s="13"/>
      <c r="BL397" s="13"/>
      <c r="BM397" s="13"/>
      <c r="BN397" s="13"/>
      <c r="BO397" s="13"/>
      <c r="BP397" s="18"/>
    </row>
    <row r="398">
      <c r="L398" s="16"/>
      <c r="M398" s="17"/>
      <c r="BG398" s="10"/>
      <c r="BH398" s="13"/>
      <c r="BI398" s="13"/>
      <c r="BJ398" s="13"/>
      <c r="BK398" s="13"/>
      <c r="BL398" s="13"/>
      <c r="BM398" s="13"/>
      <c r="BN398" s="13"/>
      <c r="BO398" s="13"/>
      <c r="BP398" s="18"/>
    </row>
    <row r="399">
      <c r="L399" s="16"/>
      <c r="M399" s="17"/>
      <c r="BG399" s="10"/>
      <c r="BH399" s="13"/>
      <c r="BI399" s="13"/>
      <c r="BJ399" s="13"/>
      <c r="BK399" s="13"/>
      <c r="BL399" s="13"/>
      <c r="BM399" s="13"/>
      <c r="BN399" s="13"/>
      <c r="BO399" s="13"/>
      <c r="BP399" s="18"/>
    </row>
    <row r="400">
      <c r="L400" s="16"/>
      <c r="M400" s="17"/>
      <c r="BG400" s="10"/>
      <c r="BH400" s="13"/>
      <c r="BI400" s="13"/>
      <c r="BJ400" s="13"/>
      <c r="BK400" s="13"/>
      <c r="BL400" s="13"/>
      <c r="BM400" s="13"/>
      <c r="BN400" s="13"/>
      <c r="BO400" s="13"/>
      <c r="BP400" s="18"/>
    </row>
    <row r="401">
      <c r="L401" s="16"/>
      <c r="M401" s="17"/>
      <c r="BG401" s="10"/>
      <c r="BH401" s="13"/>
      <c r="BI401" s="13"/>
      <c r="BJ401" s="13"/>
      <c r="BK401" s="13"/>
      <c r="BL401" s="13"/>
      <c r="BM401" s="13"/>
      <c r="BN401" s="13"/>
      <c r="BO401" s="13"/>
      <c r="BP401" s="18"/>
    </row>
    <row r="402">
      <c r="L402" s="16"/>
      <c r="M402" s="17"/>
      <c r="BG402" s="10"/>
      <c r="BH402" s="13"/>
      <c r="BI402" s="13"/>
      <c r="BJ402" s="13"/>
      <c r="BK402" s="13"/>
      <c r="BL402" s="13"/>
      <c r="BM402" s="13"/>
      <c r="BN402" s="13"/>
      <c r="BO402" s="13"/>
      <c r="BP402" s="18"/>
    </row>
    <row r="403">
      <c r="L403" s="16"/>
      <c r="M403" s="17"/>
      <c r="BG403" s="10"/>
      <c r="BH403" s="13"/>
      <c r="BI403" s="13"/>
      <c r="BJ403" s="13"/>
      <c r="BK403" s="13"/>
      <c r="BL403" s="13"/>
      <c r="BM403" s="13"/>
      <c r="BN403" s="13"/>
      <c r="BO403" s="13"/>
      <c r="BP403" s="18"/>
    </row>
    <row r="404">
      <c r="L404" s="16"/>
      <c r="M404" s="17"/>
      <c r="BG404" s="10"/>
      <c r="BH404" s="13"/>
      <c r="BI404" s="13"/>
      <c r="BJ404" s="13"/>
      <c r="BK404" s="13"/>
      <c r="BL404" s="13"/>
      <c r="BM404" s="13"/>
      <c r="BN404" s="13"/>
      <c r="BO404" s="13"/>
      <c r="BP404" s="18"/>
    </row>
    <row r="405">
      <c r="L405" s="16"/>
      <c r="M405" s="17"/>
      <c r="BG405" s="10"/>
      <c r="BH405" s="13"/>
      <c r="BI405" s="13"/>
      <c r="BJ405" s="13"/>
      <c r="BK405" s="13"/>
      <c r="BL405" s="13"/>
      <c r="BM405" s="13"/>
      <c r="BN405" s="13"/>
      <c r="BO405" s="13"/>
      <c r="BP405" s="18"/>
    </row>
    <row r="406">
      <c r="L406" s="16"/>
      <c r="M406" s="17"/>
      <c r="BG406" s="10"/>
      <c r="BH406" s="13"/>
      <c r="BI406" s="13"/>
      <c r="BJ406" s="13"/>
      <c r="BK406" s="13"/>
      <c r="BL406" s="13"/>
      <c r="BM406" s="13"/>
      <c r="BN406" s="13"/>
      <c r="BO406" s="13"/>
      <c r="BP406" s="18"/>
    </row>
    <row r="407">
      <c r="L407" s="16"/>
      <c r="M407" s="17"/>
      <c r="BG407" s="10"/>
      <c r="BH407" s="13"/>
      <c r="BI407" s="13"/>
      <c r="BJ407" s="13"/>
      <c r="BK407" s="13"/>
      <c r="BL407" s="13"/>
      <c r="BM407" s="13"/>
      <c r="BN407" s="13"/>
      <c r="BO407" s="13"/>
      <c r="BP407" s="18"/>
    </row>
    <row r="408">
      <c r="L408" s="16"/>
      <c r="M408" s="17"/>
      <c r="BG408" s="10"/>
      <c r="BH408" s="13"/>
      <c r="BI408" s="13"/>
      <c r="BJ408" s="13"/>
      <c r="BK408" s="13"/>
      <c r="BL408" s="13"/>
      <c r="BM408" s="13"/>
      <c r="BN408" s="13"/>
      <c r="BO408" s="13"/>
      <c r="BP408" s="18"/>
    </row>
    <row r="409">
      <c r="L409" s="16"/>
      <c r="M409" s="17"/>
      <c r="BG409" s="10"/>
      <c r="BH409" s="13"/>
      <c r="BI409" s="13"/>
      <c r="BJ409" s="13"/>
      <c r="BK409" s="13"/>
      <c r="BL409" s="13"/>
      <c r="BM409" s="13"/>
      <c r="BN409" s="13"/>
      <c r="BO409" s="13"/>
      <c r="BP409" s="18"/>
    </row>
    <row r="410">
      <c r="L410" s="16"/>
      <c r="M410" s="17"/>
      <c r="BG410" s="10"/>
      <c r="BH410" s="13"/>
      <c r="BI410" s="13"/>
      <c r="BJ410" s="13"/>
      <c r="BK410" s="13"/>
      <c r="BL410" s="13"/>
      <c r="BM410" s="13"/>
      <c r="BN410" s="13"/>
      <c r="BO410" s="13"/>
      <c r="BP410" s="18"/>
    </row>
    <row r="411">
      <c r="L411" s="16"/>
      <c r="M411" s="17"/>
      <c r="BG411" s="10"/>
      <c r="BH411" s="13"/>
      <c r="BI411" s="13"/>
      <c r="BJ411" s="13"/>
      <c r="BK411" s="13"/>
      <c r="BL411" s="13"/>
      <c r="BM411" s="13"/>
      <c r="BN411" s="13"/>
      <c r="BO411" s="13"/>
      <c r="BP411" s="18"/>
    </row>
    <row r="412">
      <c r="L412" s="16"/>
      <c r="M412" s="17"/>
      <c r="BG412" s="10"/>
      <c r="BH412" s="13"/>
      <c r="BI412" s="13"/>
      <c r="BJ412" s="13"/>
      <c r="BK412" s="13"/>
      <c r="BL412" s="13"/>
      <c r="BM412" s="13"/>
      <c r="BN412" s="13"/>
      <c r="BO412" s="13"/>
      <c r="BP412" s="18"/>
    </row>
    <row r="413">
      <c r="L413" s="16"/>
      <c r="M413" s="17"/>
      <c r="BG413" s="10"/>
      <c r="BH413" s="13"/>
      <c r="BI413" s="13"/>
      <c r="BJ413" s="13"/>
      <c r="BK413" s="13"/>
      <c r="BL413" s="13"/>
      <c r="BM413" s="13"/>
      <c r="BN413" s="13"/>
      <c r="BO413" s="13"/>
      <c r="BP413" s="18"/>
    </row>
    <row r="414">
      <c r="L414" s="16"/>
      <c r="M414" s="17"/>
      <c r="BG414" s="10"/>
      <c r="BH414" s="13"/>
      <c r="BI414" s="13"/>
      <c r="BJ414" s="13"/>
      <c r="BK414" s="13"/>
      <c r="BL414" s="13"/>
      <c r="BM414" s="13"/>
      <c r="BN414" s="13"/>
      <c r="BO414" s="13"/>
      <c r="BP414" s="18"/>
    </row>
    <row r="415">
      <c r="L415" s="16"/>
      <c r="M415" s="17"/>
      <c r="BG415" s="10"/>
      <c r="BH415" s="13"/>
      <c r="BI415" s="13"/>
      <c r="BJ415" s="13"/>
      <c r="BK415" s="13"/>
      <c r="BL415" s="13"/>
      <c r="BM415" s="13"/>
      <c r="BN415" s="13"/>
      <c r="BO415" s="13"/>
      <c r="BP415" s="18"/>
    </row>
    <row r="416">
      <c r="L416" s="16"/>
      <c r="M416" s="17"/>
      <c r="BG416" s="10"/>
      <c r="BH416" s="13"/>
      <c r="BI416" s="13"/>
      <c r="BJ416" s="13"/>
      <c r="BK416" s="13"/>
      <c r="BL416" s="13"/>
      <c r="BM416" s="13"/>
      <c r="BN416" s="13"/>
      <c r="BO416" s="13"/>
      <c r="BP416" s="18"/>
    </row>
    <row r="417">
      <c r="L417" s="16"/>
      <c r="M417" s="17"/>
      <c r="BG417" s="10"/>
      <c r="BH417" s="13"/>
      <c r="BI417" s="13"/>
      <c r="BJ417" s="13"/>
      <c r="BK417" s="13"/>
      <c r="BL417" s="13"/>
      <c r="BM417" s="13"/>
      <c r="BN417" s="13"/>
      <c r="BO417" s="13"/>
      <c r="BP417" s="18"/>
    </row>
    <row r="418">
      <c r="L418" s="16"/>
      <c r="M418" s="17"/>
      <c r="BG418" s="10"/>
      <c r="BH418" s="13"/>
      <c r="BI418" s="13"/>
      <c r="BJ418" s="13"/>
      <c r="BK418" s="13"/>
      <c r="BL418" s="13"/>
      <c r="BM418" s="13"/>
      <c r="BN418" s="13"/>
      <c r="BO418" s="13"/>
      <c r="BP418" s="18"/>
    </row>
    <row r="419">
      <c r="L419" s="16"/>
      <c r="M419" s="17"/>
      <c r="BG419" s="10"/>
      <c r="BH419" s="13"/>
      <c r="BI419" s="13"/>
      <c r="BJ419" s="13"/>
      <c r="BK419" s="13"/>
      <c r="BL419" s="13"/>
      <c r="BM419" s="13"/>
      <c r="BN419" s="13"/>
      <c r="BO419" s="13"/>
      <c r="BP419" s="18"/>
    </row>
    <row r="420">
      <c r="L420" s="16"/>
      <c r="M420" s="17"/>
      <c r="BG420" s="10"/>
      <c r="BH420" s="13"/>
      <c r="BI420" s="13"/>
      <c r="BJ420" s="13"/>
      <c r="BK420" s="13"/>
      <c r="BL420" s="13"/>
      <c r="BM420" s="13"/>
      <c r="BN420" s="13"/>
      <c r="BO420" s="13"/>
      <c r="BP420" s="18"/>
    </row>
    <row r="421">
      <c r="L421" s="16"/>
      <c r="M421" s="17"/>
      <c r="BG421" s="10"/>
      <c r="BH421" s="13"/>
      <c r="BI421" s="13"/>
      <c r="BJ421" s="13"/>
      <c r="BK421" s="13"/>
      <c r="BL421" s="13"/>
      <c r="BM421" s="13"/>
      <c r="BN421" s="13"/>
      <c r="BO421" s="13"/>
      <c r="BP421" s="18"/>
    </row>
    <row r="422">
      <c r="L422" s="16"/>
      <c r="M422" s="17"/>
      <c r="BG422" s="10"/>
      <c r="BH422" s="13"/>
      <c r="BI422" s="13"/>
      <c r="BJ422" s="13"/>
      <c r="BK422" s="13"/>
      <c r="BL422" s="13"/>
      <c r="BM422" s="13"/>
      <c r="BN422" s="13"/>
      <c r="BO422" s="13"/>
      <c r="BP422" s="18"/>
    </row>
    <row r="423">
      <c r="L423" s="16"/>
      <c r="M423" s="17"/>
      <c r="BG423" s="10"/>
      <c r="BH423" s="13"/>
      <c r="BI423" s="13"/>
      <c r="BJ423" s="13"/>
      <c r="BK423" s="13"/>
      <c r="BL423" s="13"/>
      <c r="BM423" s="13"/>
      <c r="BN423" s="13"/>
      <c r="BO423" s="13"/>
      <c r="BP423" s="18"/>
    </row>
    <row r="424">
      <c r="L424" s="16"/>
      <c r="M424" s="17"/>
      <c r="BG424" s="10"/>
      <c r="BH424" s="13"/>
      <c r="BI424" s="13"/>
      <c r="BJ424" s="13"/>
      <c r="BK424" s="13"/>
      <c r="BL424" s="13"/>
      <c r="BM424" s="13"/>
      <c r="BN424" s="13"/>
      <c r="BO424" s="13"/>
      <c r="BP424" s="18"/>
    </row>
    <row r="425">
      <c r="L425" s="16"/>
      <c r="M425" s="17"/>
      <c r="BG425" s="10"/>
      <c r="BH425" s="13"/>
      <c r="BI425" s="13"/>
      <c r="BJ425" s="13"/>
      <c r="BK425" s="13"/>
      <c r="BL425" s="13"/>
      <c r="BM425" s="13"/>
      <c r="BN425" s="13"/>
      <c r="BO425" s="13"/>
      <c r="BP425" s="18"/>
    </row>
    <row r="426">
      <c r="L426" s="16"/>
      <c r="M426" s="17"/>
      <c r="BG426" s="10"/>
      <c r="BH426" s="13"/>
      <c r="BI426" s="13"/>
      <c r="BJ426" s="13"/>
      <c r="BK426" s="13"/>
      <c r="BL426" s="13"/>
      <c r="BM426" s="13"/>
      <c r="BN426" s="13"/>
      <c r="BO426" s="13"/>
      <c r="BP426" s="18"/>
    </row>
    <row r="427">
      <c r="L427" s="16"/>
      <c r="M427" s="17"/>
      <c r="BG427" s="10"/>
      <c r="BH427" s="13"/>
      <c r="BI427" s="13"/>
      <c r="BJ427" s="13"/>
      <c r="BK427" s="13"/>
      <c r="BL427" s="13"/>
      <c r="BM427" s="13"/>
      <c r="BN427" s="13"/>
      <c r="BO427" s="13"/>
      <c r="BP427" s="18"/>
    </row>
    <row r="428">
      <c r="L428" s="16"/>
      <c r="M428" s="17"/>
      <c r="BG428" s="10"/>
      <c r="BH428" s="13"/>
      <c r="BI428" s="13"/>
      <c r="BJ428" s="13"/>
      <c r="BK428" s="13"/>
      <c r="BL428" s="13"/>
      <c r="BM428" s="13"/>
      <c r="BN428" s="13"/>
      <c r="BO428" s="13"/>
      <c r="BP428" s="18"/>
    </row>
    <row r="429">
      <c r="L429" s="16"/>
      <c r="M429" s="17"/>
      <c r="BG429" s="10"/>
      <c r="BH429" s="13"/>
      <c r="BI429" s="13"/>
      <c r="BJ429" s="13"/>
      <c r="BK429" s="13"/>
      <c r="BL429" s="13"/>
      <c r="BM429" s="13"/>
      <c r="BN429" s="13"/>
      <c r="BO429" s="13"/>
      <c r="BP429" s="18"/>
    </row>
    <row r="430">
      <c r="L430" s="16"/>
      <c r="M430" s="17"/>
      <c r="BG430" s="10"/>
      <c r="BH430" s="13"/>
      <c r="BI430" s="13"/>
      <c r="BJ430" s="13"/>
      <c r="BK430" s="13"/>
      <c r="BL430" s="13"/>
      <c r="BM430" s="13"/>
      <c r="BN430" s="13"/>
      <c r="BO430" s="13"/>
      <c r="BP430" s="18"/>
    </row>
    <row r="431">
      <c r="L431" s="16"/>
      <c r="M431" s="17"/>
      <c r="BG431" s="10"/>
      <c r="BH431" s="13"/>
      <c r="BI431" s="13"/>
      <c r="BJ431" s="13"/>
      <c r="BK431" s="13"/>
      <c r="BL431" s="13"/>
      <c r="BM431" s="13"/>
      <c r="BN431" s="13"/>
      <c r="BO431" s="13"/>
      <c r="BP431" s="18"/>
    </row>
    <row r="432">
      <c r="L432" s="16"/>
      <c r="M432" s="17"/>
      <c r="BG432" s="10"/>
      <c r="BH432" s="13"/>
      <c r="BI432" s="13"/>
      <c r="BJ432" s="13"/>
      <c r="BK432" s="13"/>
      <c r="BL432" s="13"/>
      <c r="BM432" s="13"/>
      <c r="BN432" s="13"/>
      <c r="BO432" s="13"/>
      <c r="BP432" s="18"/>
    </row>
    <row r="433">
      <c r="L433" s="16"/>
      <c r="M433" s="17"/>
      <c r="BG433" s="10"/>
      <c r="BH433" s="13"/>
      <c r="BI433" s="13"/>
      <c r="BJ433" s="13"/>
      <c r="BK433" s="13"/>
      <c r="BL433" s="13"/>
      <c r="BM433" s="13"/>
      <c r="BN433" s="13"/>
      <c r="BO433" s="13"/>
      <c r="BP433" s="18"/>
    </row>
    <row r="434">
      <c r="L434" s="16"/>
      <c r="M434" s="17"/>
      <c r="BG434" s="10"/>
      <c r="BH434" s="13"/>
      <c r="BI434" s="13"/>
      <c r="BJ434" s="13"/>
      <c r="BK434" s="13"/>
      <c r="BL434" s="13"/>
      <c r="BM434" s="13"/>
      <c r="BN434" s="13"/>
      <c r="BO434" s="13"/>
      <c r="BP434" s="18"/>
    </row>
    <row r="435">
      <c r="L435" s="16"/>
      <c r="M435" s="17"/>
      <c r="BG435" s="10"/>
      <c r="BH435" s="13"/>
      <c r="BI435" s="13"/>
      <c r="BJ435" s="13"/>
      <c r="BK435" s="13"/>
      <c r="BL435" s="13"/>
      <c r="BM435" s="13"/>
      <c r="BN435" s="13"/>
      <c r="BO435" s="13"/>
      <c r="BP435" s="18"/>
    </row>
    <row r="436">
      <c r="L436" s="16"/>
      <c r="M436" s="17"/>
      <c r="BG436" s="10"/>
      <c r="BH436" s="13"/>
      <c r="BI436" s="13"/>
      <c r="BJ436" s="13"/>
      <c r="BK436" s="13"/>
      <c r="BL436" s="13"/>
      <c r="BM436" s="13"/>
      <c r="BN436" s="13"/>
      <c r="BO436" s="13"/>
      <c r="BP436" s="18"/>
    </row>
    <row r="437">
      <c r="L437" s="16"/>
      <c r="M437" s="17"/>
      <c r="BG437" s="10"/>
      <c r="BH437" s="13"/>
      <c r="BI437" s="13"/>
      <c r="BJ437" s="13"/>
      <c r="BK437" s="13"/>
      <c r="BL437" s="13"/>
      <c r="BM437" s="13"/>
      <c r="BN437" s="13"/>
      <c r="BO437" s="13"/>
      <c r="BP437" s="18"/>
    </row>
    <row r="438">
      <c r="L438" s="16"/>
      <c r="M438" s="17"/>
      <c r="BG438" s="10"/>
      <c r="BH438" s="13"/>
      <c r="BI438" s="13"/>
      <c r="BJ438" s="13"/>
      <c r="BK438" s="13"/>
      <c r="BL438" s="13"/>
      <c r="BM438" s="13"/>
      <c r="BN438" s="13"/>
      <c r="BO438" s="13"/>
      <c r="BP438" s="18"/>
    </row>
    <row r="439">
      <c r="L439" s="16"/>
      <c r="M439" s="17"/>
      <c r="BG439" s="10"/>
      <c r="BH439" s="13"/>
      <c r="BI439" s="13"/>
      <c r="BJ439" s="13"/>
      <c r="BK439" s="13"/>
      <c r="BL439" s="13"/>
      <c r="BM439" s="13"/>
      <c r="BN439" s="13"/>
      <c r="BO439" s="13"/>
      <c r="BP439" s="18"/>
    </row>
    <row r="440">
      <c r="L440" s="16"/>
      <c r="M440" s="17"/>
      <c r="BG440" s="10"/>
      <c r="BH440" s="13"/>
      <c r="BI440" s="13"/>
      <c r="BJ440" s="13"/>
      <c r="BK440" s="13"/>
      <c r="BL440" s="13"/>
      <c r="BM440" s="13"/>
      <c r="BN440" s="13"/>
      <c r="BO440" s="13"/>
      <c r="BP440" s="18"/>
    </row>
    <row r="441">
      <c r="L441" s="16"/>
      <c r="M441" s="17"/>
      <c r="BG441" s="10"/>
      <c r="BH441" s="13"/>
      <c r="BI441" s="13"/>
      <c r="BJ441" s="13"/>
      <c r="BK441" s="13"/>
      <c r="BL441" s="13"/>
      <c r="BM441" s="13"/>
      <c r="BN441" s="13"/>
      <c r="BO441" s="13"/>
      <c r="BP441" s="18"/>
    </row>
    <row r="442">
      <c r="L442" s="16"/>
      <c r="M442" s="17"/>
      <c r="BG442" s="10"/>
      <c r="BH442" s="13"/>
      <c r="BI442" s="13"/>
      <c r="BJ442" s="13"/>
      <c r="BK442" s="13"/>
      <c r="BL442" s="13"/>
      <c r="BM442" s="13"/>
      <c r="BN442" s="13"/>
      <c r="BO442" s="13"/>
      <c r="BP442" s="18"/>
    </row>
    <row r="443">
      <c r="L443" s="16"/>
      <c r="M443" s="17"/>
      <c r="BG443" s="10"/>
      <c r="BH443" s="13"/>
      <c r="BI443" s="13"/>
      <c r="BJ443" s="13"/>
      <c r="BK443" s="13"/>
      <c r="BL443" s="13"/>
      <c r="BM443" s="13"/>
      <c r="BN443" s="13"/>
      <c r="BO443" s="13"/>
      <c r="BP443" s="18"/>
    </row>
    <row r="444">
      <c r="L444" s="16"/>
      <c r="M444" s="17"/>
      <c r="BG444" s="10"/>
      <c r="BH444" s="13"/>
      <c r="BI444" s="13"/>
      <c r="BJ444" s="13"/>
      <c r="BK444" s="13"/>
      <c r="BL444" s="13"/>
      <c r="BM444" s="13"/>
      <c r="BN444" s="13"/>
      <c r="BO444" s="13"/>
      <c r="BP444" s="18"/>
    </row>
    <row r="445">
      <c r="L445" s="16"/>
      <c r="M445" s="17"/>
      <c r="BG445" s="10"/>
      <c r="BH445" s="13"/>
      <c r="BI445" s="13"/>
      <c r="BJ445" s="13"/>
      <c r="BK445" s="13"/>
      <c r="BL445" s="13"/>
      <c r="BM445" s="13"/>
      <c r="BN445" s="13"/>
      <c r="BO445" s="13"/>
      <c r="BP445" s="18"/>
    </row>
    <row r="446">
      <c r="L446" s="16"/>
      <c r="M446" s="17"/>
      <c r="BG446" s="10"/>
      <c r="BH446" s="13"/>
      <c r="BI446" s="13"/>
      <c r="BJ446" s="13"/>
      <c r="BK446" s="13"/>
      <c r="BL446" s="13"/>
      <c r="BM446" s="13"/>
      <c r="BN446" s="13"/>
      <c r="BO446" s="13"/>
      <c r="BP446" s="18"/>
    </row>
    <row r="447">
      <c r="L447" s="16"/>
      <c r="M447" s="17"/>
      <c r="BG447" s="10"/>
      <c r="BH447" s="13"/>
      <c r="BI447" s="13"/>
      <c r="BJ447" s="13"/>
      <c r="BK447" s="13"/>
      <c r="BL447" s="13"/>
      <c r="BM447" s="13"/>
      <c r="BN447" s="13"/>
      <c r="BO447" s="13"/>
      <c r="BP447" s="18"/>
    </row>
    <row r="448">
      <c r="L448" s="16"/>
      <c r="M448" s="17"/>
      <c r="BG448" s="10"/>
      <c r="BH448" s="13"/>
      <c r="BI448" s="13"/>
      <c r="BJ448" s="13"/>
      <c r="BK448" s="13"/>
      <c r="BL448" s="13"/>
      <c r="BM448" s="13"/>
      <c r="BN448" s="13"/>
      <c r="BO448" s="13"/>
      <c r="BP448" s="18"/>
    </row>
    <row r="449">
      <c r="L449" s="16"/>
      <c r="M449" s="17"/>
      <c r="BG449" s="10"/>
      <c r="BH449" s="13"/>
      <c r="BI449" s="13"/>
      <c r="BJ449" s="13"/>
      <c r="BK449" s="13"/>
      <c r="BL449" s="13"/>
      <c r="BM449" s="13"/>
      <c r="BN449" s="13"/>
      <c r="BO449" s="13"/>
      <c r="BP449" s="18"/>
    </row>
    <row r="450">
      <c r="L450" s="16"/>
      <c r="M450" s="17"/>
      <c r="BG450" s="10"/>
      <c r="BH450" s="13"/>
      <c r="BI450" s="13"/>
      <c r="BJ450" s="13"/>
      <c r="BK450" s="13"/>
      <c r="BL450" s="13"/>
      <c r="BM450" s="13"/>
      <c r="BN450" s="13"/>
      <c r="BO450" s="13"/>
      <c r="BP450" s="18"/>
    </row>
    <row r="451">
      <c r="L451" s="16"/>
      <c r="M451" s="17"/>
      <c r="BG451" s="10"/>
      <c r="BH451" s="13"/>
      <c r="BI451" s="13"/>
      <c r="BJ451" s="13"/>
      <c r="BK451" s="13"/>
      <c r="BL451" s="13"/>
      <c r="BM451" s="13"/>
      <c r="BN451" s="13"/>
      <c r="BO451" s="13"/>
      <c r="BP451" s="18"/>
    </row>
    <row r="452">
      <c r="L452" s="16"/>
      <c r="M452" s="17"/>
      <c r="BG452" s="10"/>
      <c r="BH452" s="13"/>
      <c r="BI452" s="13"/>
      <c r="BJ452" s="13"/>
      <c r="BK452" s="13"/>
      <c r="BL452" s="13"/>
      <c r="BM452" s="13"/>
      <c r="BN452" s="13"/>
      <c r="BO452" s="13"/>
      <c r="BP452" s="18"/>
    </row>
    <row r="453">
      <c r="L453" s="16"/>
      <c r="M453" s="17"/>
      <c r="BG453" s="10"/>
      <c r="BH453" s="13"/>
      <c r="BI453" s="13"/>
      <c r="BJ453" s="13"/>
      <c r="BK453" s="13"/>
      <c r="BL453" s="13"/>
      <c r="BM453" s="13"/>
      <c r="BN453" s="13"/>
      <c r="BO453" s="13"/>
      <c r="BP453" s="18"/>
    </row>
    <row r="454">
      <c r="L454" s="16"/>
      <c r="M454" s="17"/>
      <c r="BG454" s="10"/>
      <c r="BH454" s="13"/>
      <c r="BI454" s="13"/>
      <c r="BJ454" s="13"/>
      <c r="BK454" s="13"/>
      <c r="BL454" s="13"/>
      <c r="BM454" s="13"/>
      <c r="BN454" s="13"/>
      <c r="BO454" s="13"/>
      <c r="BP454" s="18"/>
    </row>
    <row r="455">
      <c r="L455" s="16"/>
      <c r="M455" s="17"/>
      <c r="BG455" s="10"/>
      <c r="BH455" s="13"/>
      <c r="BI455" s="13"/>
      <c r="BJ455" s="13"/>
      <c r="BK455" s="13"/>
      <c r="BL455" s="13"/>
      <c r="BM455" s="13"/>
      <c r="BN455" s="13"/>
      <c r="BO455" s="13"/>
      <c r="BP455" s="18"/>
    </row>
    <row r="456">
      <c r="L456" s="16"/>
      <c r="M456" s="17"/>
      <c r="BG456" s="10"/>
      <c r="BH456" s="13"/>
      <c r="BI456" s="13"/>
      <c r="BJ456" s="13"/>
      <c r="BK456" s="13"/>
      <c r="BL456" s="13"/>
      <c r="BM456" s="13"/>
      <c r="BN456" s="13"/>
      <c r="BO456" s="13"/>
      <c r="BP456" s="18"/>
    </row>
    <row r="457">
      <c r="L457" s="16"/>
      <c r="M457" s="17"/>
      <c r="BG457" s="10"/>
      <c r="BH457" s="13"/>
      <c r="BI457" s="13"/>
      <c r="BJ457" s="13"/>
      <c r="BK457" s="13"/>
      <c r="BL457" s="13"/>
      <c r="BM457" s="13"/>
      <c r="BN457" s="13"/>
      <c r="BO457" s="13"/>
      <c r="BP457" s="18"/>
    </row>
    <row r="458">
      <c r="L458" s="16"/>
      <c r="M458" s="17"/>
      <c r="BG458" s="10"/>
      <c r="BH458" s="13"/>
      <c r="BI458" s="13"/>
      <c r="BJ458" s="13"/>
      <c r="BK458" s="13"/>
      <c r="BL458" s="13"/>
      <c r="BM458" s="13"/>
      <c r="BN458" s="13"/>
      <c r="BO458" s="13"/>
      <c r="BP458" s="18"/>
    </row>
    <row r="459">
      <c r="L459" s="16"/>
      <c r="M459" s="17"/>
      <c r="BG459" s="10"/>
      <c r="BH459" s="13"/>
      <c r="BI459" s="13"/>
      <c r="BJ459" s="13"/>
      <c r="BK459" s="13"/>
      <c r="BL459" s="13"/>
      <c r="BM459" s="13"/>
      <c r="BN459" s="13"/>
      <c r="BO459" s="13"/>
      <c r="BP459" s="18"/>
    </row>
    <row r="460">
      <c r="L460" s="16"/>
      <c r="M460" s="17"/>
      <c r="BG460" s="10"/>
      <c r="BH460" s="13"/>
      <c r="BI460" s="13"/>
      <c r="BJ460" s="13"/>
      <c r="BK460" s="13"/>
      <c r="BL460" s="13"/>
      <c r="BM460" s="13"/>
      <c r="BN460" s="13"/>
      <c r="BO460" s="13"/>
      <c r="BP460" s="18"/>
    </row>
    <row r="461">
      <c r="L461" s="16"/>
      <c r="M461" s="17"/>
      <c r="BG461" s="10"/>
      <c r="BH461" s="13"/>
      <c r="BI461" s="13"/>
      <c r="BJ461" s="13"/>
      <c r="BK461" s="13"/>
      <c r="BL461" s="13"/>
      <c r="BM461" s="13"/>
      <c r="BN461" s="13"/>
      <c r="BO461" s="13"/>
      <c r="BP461" s="18"/>
    </row>
    <row r="462">
      <c r="L462" s="16"/>
      <c r="M462" s="17"/>
      <c r="BG462" s="10"/>
      <c r="BH462" s="13"/>
      <c r="BI462" s="13"/>
      <c r="BJ462" s="13"/>
      <c r="BK462" s="13"/>
      <c r="BL462" s="13"/>
      <c r="BM462" s="13"/>
      <c r="BN462" s="13"/>
      <c r="BO462" s="13"/>
      <c r="BP462" s="18"/>
    </row>
    <row r="463">
      <c r="L463" s="16"/>
      <c r="M463" s="17"/>
      <c r="BG463" s="10"/>
      <c r="BH463" s="13"/>
      <c r="BI463" s="13"/>
      <c r="BJ463" s="13"/>
      <c r="BK463" s="13"/>
      <c r="BL463" s="13"/>
      <c r="BM463" s="13"/>
      <c r="BN463" s="13"/>
      <c r="BO463" s="13"/>
      <c r="BP463" s="18"/>
    </row>
    <row r="464">
      <c r="L464" s="16"/>
      <c r="M464" s="17"/>
      <c r="BG464" s="10"/>
      <c r="BH464" s="13"/>
      <c r="BI464" s="13"/>
      <c r="BJ464" s="13"/>
      <c r="BK464" s="13"/>
      <c r="BL464" s="13"/>
      <c r="BM464" s="13"/>
      <c r="BN464" s="13"/>
      <c r="BO464" s="13"/>
      <c r="BP464" s="18"/>
    </row>
    <row r="465">
      <c r="L465" s="16"/>
      <c r="M465" s="17"/>
      <c r="BG465" s="10"/>
      <c r="BH465" s="13"/>
      <c r="BI465" s="13"/>
      <c r="BJ465" s="13"/>
      <c r="BK465" s="13"/>
      <c r="BL465" s="13"/>
      <c r="BM465" s="13"/>
      <c r="BN465" s="13"/>
      <c r="BO465" s="13"/>
      <c r="BP465" s="18"/>
    </row>
    <row r="466">
      <c r="L466" s="16"/>
      <c r="M466" s="17"/>
      <c r="BG466" s="10"/>
      <c r="BH466" s="13"/>
      <c r="BI466" s="13"/>
      <c r="BJ466" s="13"/>
      <c r="BK466" s="13"/>
      <c r="BL466" s="13"/>
      <c r="BM466" s="13"/>
      <c r="BN466" s="13"/>
      <c r="BO466" s="13"/>
      <c r="BP466" s="18"/>
    </row>
    <row r="467">
      <c r="L467" s="16"/>
      <c r="M467" s="17"/>
      <c r="BG467" s="10"/>
      <c r="BH467" s="13"/>
      <c r="BI467" s="13"/>
      <c r="BJ467" s="13"/>
      <c r="BK467" s="13"/>
      <c r="BL467" s="13"/>
      <c r="BM467" s="13"/>
      <c r="BN467" s="13"/>
      <c r="BO467" s="13"/>
      <c r="BP467" s="18"/>
    </row>
    <row r="468">
      <c r="L468" s="16"/>
      <c r="M468" s="17"/>
      <c r="BG468" s="10"/>
      <c r="BH468" s="13"/>
      <c r="BI468" s="13"/>
      <c r="BJ468" s="13"/>
      <c r="BK468" s="13"/>
      <c r="BL468" s="13"/>
      <c r="BM468" s="13"/>
      <c r="BN468" s="13"/>
      <c r="BO468" s="13"/>
      <c r="BP468" s="18"/>
    </row>
    <row r="469">
      <c r="L469" s="16"/>
      <c r="M469" s="17"/>
      <c r="BG469" s="10"/>
      <c r="BH469" s="13"/>
      <c r="BI469" s="13"/>
      <c r="BJ469" s="13"/>
      <c r="BK469" s="13"/>
      <c r="BL469" s="13"/>
      <c r="BM469" s="13"/>
      <c r="BN469" s="13"/>
      <c r="BO469" s="13"/>
      <c r="BP469" s="18"/>
    </row>
    <row r="470">
      <c r="L470" s="16"/>
      <c r="M470" s="17"/>
      <c r="BG470" s="10"/>
      <c r="BH470" s="13"/>
      <c r="BI470" s="13"/>
      <c r="BJ470" s="13"/>
      <c r="BK470" s="13"/>
      <c r="BL470" s="13"/>
      <c r="BM470" s="13"/>
      <c r="BN470" s="13"/>
      <c r="BO470" s="13"/>
      <c r="BP470" s="18"/>
    </row>
    <row r="471">
      <c r="L471" s="16"/>
      <c r="M471" s="17"/>
      <c r="BG471" s="10"/>
      <c r="BH471" s="13"/>
      <c r="BI471" s="13"/>
      <c r="BJ471" s="13"/>
      <c r="BK471" s="13"/>
      <c r="BL471" s="13"/>
      <c r="BM471" s="13"/>
      <c r="BN471" s="13"/>
      <c r="BO471" s="13"/>
      <c r="BP471" s="18"/>
    </row>
    <row r="472">
      <c r="L472" s="16"/>
      <c r="M472" s="17"/>
      <c r="BG472" s="10"/>
      <c r="BH472" s="13"/>
      <c r="BI472" s="13"/>
      <c r="BJ472" s="13"/>
      <c r="BK472" s="13"/>
      <c r="BL472" s="13"/>
      <c r="BM472" s="13"/>
      <c r="BN472" s="13"/>
      <c r="BO472" s="13"/>
      <c r="BP472" s="18"/>
    </row>
    <row r="473">
      <c r="L473" s="16"/>
      <c r="M473" s="17"/>
      <c r="BG473" s="10"/>
      <c r="BH473" s="13"/>
      <c r="BI473" s="13"/>
      <c r="BJ473" s="13"/>
      <c r="BK473" s="13"/>
      <c r="BL473" s="13"/>
      <c r="BM473" s="13"/>
      <c r="BN473" s="13"/>
      <c r="BO473" s="13"/>
      <c r="BP473" s="18"/>
    </row>
    <row r="474">
      <c r="L474" s="16"/>
      <c r="M474" s="17"/>
      <c r="BG474" s="10"/>
      <c r="BH474" s="13"/>
      <c r="BI474" s="13"/>
      <c r="BJ474" s="13"/>
      <c r="BK474" s="13"/>
      <c r="BL474" s="13"/>
      <c r="BM474" s="13"/>
      <c r="BN474" s="13"/>
      <c r="BO474" s="13"/>
      <c r="BP474" s="18"/>
    </row>
    <row r="475">
      <c r="L475" s="16"/>
      <c r="M475" s="17"/>
      <c r="BG475" s="10"/>
      <c r="BH475" s="13"/>
      <c r="BI475" s="13"/>
      <c r="BJ475" s="13"/>
      <c r="BK475" s="13"/>
      <c r="BL475" s="13"/>
      <c r="BM475" s="13"/>
      <c r="BN475" s="13"/>
      <c r="BO475" s="13"/>
      <c r="BP475" s="18"/>
    </row>
    <row r="476">
      <c r="L476" s="16"/>
      <c r="M476" s="17"/>
      <c r="BG476" s="10"/>
      <c r="BH476" s="13"/>
      <c r="BI476" s="13"/>
      <c r="BJ476" s="13"/>
      <c r="BK476" s="13"/>
      <c r="BL476" s="13"/>
      <c r="BM476" s="13"/>
      <c r="BN476" s="13"/>
      <c r="BO476" s="13"/>
      <c r="BP476" s="18"/>
    </row>
    <row r="477">
      <c r="L477" s="16"/>
      <c r="M477" s="17"/>
      <c r="BG477" s="10"/>
      <c r="BH477" s="13"/>
      <c r="BI477" s="13"/>
      <c r="BJ477" s="13"/>
      <c r="BK477" s="13"/>
      <c r="BL477" s="13"/>
      <c r="BM477" s="13"/>
      <c r="BN477" s="13"/>
      <c r="BO477" s="13"/>
      <c r="BP477" s="18"/>
    </row>
    <row r="478">
      <c r="L478" s="16"/>
      <c r="M478" s="17"/>
      <c r="BG478" s="10"/>
      <c r="BH478" s="13"/>
      <c r="BI478" s="13"/>
      <c r="BJ478" s="13"/>
      <c r="BK478" s="13"/>
      <c r="BL478" s="13"/>
      <c r="BM478" s="13"/>
      <c r="BN478" s="13"/>
      <c r="BO478" s="13"/>
      <c r="BP478" s="18"/>
    </row>
    <row r="479">
      <c r="L479" s="16"/>
      <c r="M479" s="17"/>
      <c r="BG479" s="10"/>
      <c r="BH479" s="13"/>
      <c r="BI479" s="13"/>
      <c r="BJ479" s="13"/>
      <c r="BK479" s="13"/>
      <c r="BL479" s="13"/>
      <c r="BM479" s="13"/>
      <c r="BN479" s="13"/>
      <c r="BO479" s="13"/>
      <c r="BP479" s="18"/>
    </row>
    <row r="480">
      <c r="L480" s="16"/>
      <c r="M480" s="17"/>
      <c r="BG480" s="10"/>
      <c r="BH480" s="13"/>
      <c r="BI480" s="13"/>
      <c r="BJ480" s="13"/>
      <c r="BK480" s="13"/>
      <c r="BL480" s="13"/>
      <c r="BM480" s="13"/>
      <c r="BN480" s="13"/>
      <c r="BO480" s="13"/>
      <c r="BP480" s="18"/>
    </row>
    <row r="481">
      <c r="L481" s="16"/>
      <c r="M481" s="17"/>
      <c r="BG481" s="10"/>
      <c r="BH481" s="13"/>
      <c r="BI481" s="13"/>
      <c r="BJ481" s="13"/>
      <c r="BK481" s="13"/>
      <c r="BL481" s="13"/>
      <c r="BM481" s="13"/>
      <c r="BN481" s="13"/>
      <c r="BO481" s="13"/>
      <c r="BP481" s="18"/>
    </row>
    <row r="482">
      <c r="L482" s="16"/>
      <c r="M482" s="17"/>
      <c r="BG482" s="10"/>
      <c r="BH482" s="13"/>
      <c r="BI482" s="13"/>
      <c r="BJ482" s="13"/>
      <c r="BK482" s="13"/>
      <c r="BL482" s="13"/>
      <c r="BM482" s="13"/>
      <c r="BN482" s="13"/>
      <c r="BO482" s="13"/>
      <c r="BP482" s="18"/>
    </row>
    <row r="483">
      <c r="L483" s="16"/>
      <c r="M483" s="17"/>
      <c r="BG483" s="10"/>
      <c r="BH483" s="13"/>
      <c r="BI483" s="13"/>
      <c r="BJ483" s="13"/>
      <c r="BK483" s="13"/>
      <c r="BL483" s="13"/>
      <c r="BM483" s="13"/>
      <c r="BN483" s="13"/>
      <c r="BO483" s="13"/>
      <c r="BP483" s="18"/>
    </row>
    <row r="484">
      <c r="L484" s="16"/>
      <c r="M484" s="17"/>
      <c r="BG484" s="10"/>
      <c r="BH484" s="13"/>
      <c r="BI484" s="13"/>
      <c r="BJ484" s="13"/>
      <c r="BK484" s="13"/>
      <c r="BL484" s="13"/>
      <c r="BM484" s="13"/>
      <c r="BN484" s="13"/>
      <c r="BO484" s="13"/>
      <c r="BP484" s="18"/>
    </row>
    <row r="485">
      <c r="L485" s="16"/>
      <c r="M485" s="17"/>
      <c r="BG485" s="10"/>
      <c r="BH485" s="13"/>
      <c r="BI485" s="13"/>
      <c r="BJ485" s="13"/>
      <c r="BK485" s="13"/>
      <c r="BL485" s="13"/>
      <c r="BM485" s="13"/>
      <c r="BN485" s="13"/>
      <c r="BO485" s="13"/>
      <c r="BP485" s="18"/>
    </row>
    <row r="486">
      <c r="L486" s="16"/>
      <c r="M486" s="17"/>
      <c r="BG486" s="10"/>
      <c r="BH486" s="13"/>
      <c r="BI486" s="13"/>
      <c r="BJ486" s="13"/>
      <c r="BK486" s="13"/>
      <c r="BL486" s="13"/>
      <c r="BM486" s="13"/>
      <c r="BN486" s="13"/>
      <c r="BO486" s="13"/>
      <c r="BP486" s="18"/>
    </row>
    <row r="487">
      <c r="L487" s="16"/>
      <c r="M487" s="17"/>
      <c r="BG487" s="10"/>
      <c r="BH487" s="13"/>
      <c r="BI487" s="13"/>
      <c r="BJ487" s="13"/>
      <c r="BK487" s="13"/>
      <c r="BL487" s="13"/>
      <c r="BM487" s="13"/>
      <c r="BN487" s="13"/>
      <c r="BO487" s="13"/>
      <c r="BP487" s="18"/>
    </row>
    <row r="488">
      <c r="L488" s="16"/>
      <c r="M488" s="17"/>
      <c r="BG488" s="10"/>
      <c r="BH488" s="13"/>
      <c r="BI488" s="13"/>
      <c r="BJ488" s="13"/>
      <c r="BK488" s="13"/>
      <c r="BL488" s="13"/>
      <c r="BM488" s="13"/>
      <c r="BN488" s="13"/>
      <c r="BO488" s="13"/>
      <c r="BP488" s="18"/>
    </row>
    <row r="489">
      <c r="L489" s="16"/>
      <c r="M489" s="17"/>
      <c r="BG489" s="10"/>
      <c r="BH489" s="13"/>
      <c r="BI489" s="13"/>
      <c r="BJ489" s="13"/>
      <c r="BK489" s="13"/>
      <c r="BL489" s="13"/>
      <c r="BM489" s="13"/>
      <c r="BN489" s="13"/>
      <c r="BO489" s="13"/>
      <c r="BP489" s="18"/>
    </row>
    <row r="490">
      <c r="L490" s="16"/>
      <c r="M490" s="17"/>
      <c r="BG490" s="10"/>
      <c r="BH490" s="13"/>
      <c r="BI490" s="13"/>
      <c r="BJ490" s="13"/>
      <c r="BK490" s="13"/>
      <c r="BL490" s="13"/>
      <c r="BM490" s="13"/>
      <c r="BN490" s="13"/>
      <c r="BO490" s="13"/>
      <c r="BP490" s="18"/>
    </row>
    <row r="491">
      <c r="L491" s="16"/>
      <c r="M491" s="17"/>
      <c r="BG491" s="10"/>
      <c r="BH491" s="13"/>
      <c r="BI491" s="13"/>
      <c r="BJ491" s="13"/>
      <c r="BK491" s="13"/>
      <c r="BL491" s="13"/>
      <c r="BM491" s="13"/>
      <c r="BN491" s="13"/>
      <c r="BO491" s="13"/>
      <c r="BP491" s="18"/>
    </row>
    <row r="492">
      <c r="L492" s="16"/>
      <c r="M492" s="17"/>
      <c r="BG492" s="10"/>
      <c r="BH492" s="13"/>
      <c r="BI492" s="13"/>
      <c r="BJ492" s="13"/>
      <c r="BK492" s="13"/>
      <c r="BL492" s="13"/>
      <c r="BM492" s="13"/>
      <c r="BN492" s="13"/>
      <c r="BO492" s="13"/>
      <c r="BP492" s="18"/>
    </row>
    <row r="493">
      <c r="L493" s="16"/>
      <c r="M493" s="17"/>
      <c r="BG493" s="10"/>
      <c r="BH493" s="13"/>
      <c r="BI493" s="13"/>
      <c r="BJ493" s="13"/>
      <c r="BK493" s="13"/>
      <c r="BL493" s="13"/>
      <c r="BM493" s="13"/>
      <c r="BN493" s="13"/>
      <c r="BO493" s="13"/>
      <c r="BP493" s="18"/>
    </row>
    <row r="494">
      <c r="L494" s="16"/>
      <c r="M494" s="17"/>
      <c r="BG494" s="10"/>
      <c r="BH494" s="13"/>
      <c r="BI494" s="13"/>
      <c r="BJ494" s="13"/>
      <c r="BK494" s="13"/>
      <c r="BL494" s="13"/>
      <c r="BM494" s="13"/>
      <c r="BN494" s="13"/>
      <c r="BO494" s="13"/>
      <c r="BP494" s="18"/>
    </row>
    <row r="495">
      <c r="L495" s="16"/>
      <c r="M495" s="17"/>
      <c r="BG495" s="10"/>
      <c r="BH495" s="13"/>
      <c r="BI495" s="13"/>
      <c r="BJ495" s="13"/>
      <c r="BK495" s="13"/>
      <c r="BL495" s="13"/>
      <c r="BM495" s="13"/>
      <c r="BN495" s="13"/>
      <c r="BO495" s="13"/>
      <c r="BP495" s="18"/>
    </row>
    <row r="496">
      <c r="L496" s="16"/>
      <c r="M496" s="17"/>
      <c r="BG496" s="10"/>
      <c r="BH496" s="13"/>
      <c r="BI496" s="13"/>
      <c r="BJ496" s="13"/>
      <c r="BK496" s="13"/>
      <c r="BL496" s="13"/>
      <c r="BM496" s="13"/>
      <c r="BN496" s="13"/>
      <c r="BO496" s="13"/>
      <c r="BP496" s="18"/>
    </row>
    <row r="497">
      <c r="L497" s="16"/>
      <c r="M497" s="17"/>
      <c r="BG497" s="10"/>
      <c r="BH497" s="13"/>
      <c r="BI497" s="13"/>
      <c r="BJ497" s="13"/>
      <c r="BK497" s="13"/>
      <c r="BL497" s="13"/>
      <c r="BM497" s="13"/>
      <c r="BN497" s="13"/>
      <c r="BO497" s="13"/>
      <c r="BP497" s="18"/>
    </row>
    <row r="498">
      <c r="L498" s="16"/>
      <c r="M498" s="17"/>
      <c r="BG498" s="10"/>
      <c r="BH498" s="13"/>
      <c r="BI498" s="13"/>
      <c r="BJ498" s="13"/>
      <c r="BK498" s="13"/>
      <c r="BL498" s="13"/>
      <c r="BM498" s="13"/>
      <c r="BN498" s="13"/>
      <c r="BO498" s="13"/>
      <c r="BP498" s="18"/>
    </row>
    <row r="499">
      <c r="L499" s="16"/>
      <c r="M499" s="17"/>
      <c r="BG499" s="10"/>
      <c r="BH499" s="13"/>
      <c r="BI499" s="13"/>
      <c r="BJ499" s="13"/>
      <c r="BK499" s="13"/>
      <c r="BL499" s="13"/>
      <c r="BM499" s="13"/>
      <c r="BN499" s="13"/>
      <c r="BO499" s="13"/>
      <c r="BP499" s="18"/>
    </row>
    <row r="500">
      <c r="L500" s="16"/>
      <c r="M500" s="17"/>
      <c r="BG500" s="10"/>
      <c r="BH500" s="13"/>
      <c r="BI500" s="13"/>
      <c r="BJ500" s="13"/>
      <c r="BK500" s="13"/>
      <c r="BL500" s="13"/>
      <c r="BM500" s="13"/>
      <c r="BN500" s="13"/>
      <c r="BO500" s="13"/>
      <c r="BP500" s="18"/>
    </row>
    <row r="501">
      <c r="L501" s="16"/>
      <c r="M501" s="17"/>
      <c r="BG501" s="10"/>
      <c r="BH501" s="13"/>
      <c r="BI501" s="13"/>
      <c r="BJ501" s="13"/>
      <c r="BK501" s="13"/>
      <c r="BL501" s="13"/>
      <c r="BM501" s="13"/>
      <c r="BN501" s="13"/>
      <c r="BO501" s="13"/>
      <c r="BP501" s="18"/>
    </row>
    <row r="502">
      <c r="L502" s="16"/>
      <c r="M502" s="17"/>
      <c r="BG502" s="10"/>
      <c r="BH502" s="13"/>
      <c r="BI502" s="13"/>
      <c r="BJ502" s="13"/>
      <c r="BK502" s="13"/>
      <c r="BL502" s="13"/>
      <c r="BM502" s="13"/>
      <c r="BN502" s="13"/>
      <c r="BO502" s="13"/>
      <c r="BP502" s="18"/>
    </row>
    <row r="503">
      <c r="L503" s="16"/>
      <c r="M503" s="17"/>
      <c r="BG503" s="10"/>
      <c r="BH503" s="13"/>
      <c r="BI503" s="13"/>
      <c r="BJ503" s="13"/>
      <c r="BK503" s="13"/>
      <c r="BL503" s="13"/>
      <c r="BM503" s="13"/>
      <c r="BN503" s="13"/>
      <c r="BO503" s="13"/>
      <c r="BP503" s="18"/>
    </row>
    <row r="504">
      <c r="L504" s="16"/>
      <c r="M504" s="17"/>
      <c r="BG504" s="10"/>
      <c r="BH504" s="13"/>
      <c r="BI504" s="13"/>
      <c r="BJ504" s="13"/>
      <c r="BK504" s="13"/>
      <c r="BL504" s="13"/>
      <c r="BM504" s="13"/>
      <c r="BN504" s="13"/>
      <c r="BO504" s="13"/>
      <c r="BP504" s="18"/>
    </row>
    <row r="505">
      <c r="L505" s="16"/>
      <c r="M505" s="17"/>
      <c r="BG505" s="10"/>
      <c r="BH505" s="13"/>
      <c r="BI505" s="13"/>
      <c r="BJ505" s="13"/>
      <c r="BK505" s="13"/>
      <c r="BL505" s="13"/>
      <c r="BM505" s="13"/>
      <c r="BN505" s="13"/>
      <c r="BO505" s="13"/>
      <c r="BP505" s="18"/>
    </row>
    <row r="506">
      <c r="L506" s="16"/>
      <c r="M506" s="17"/>
      <c r="BG506" s="10"/>
      <c r="BH506" s="13"/>
      <c r="BI506" s="13"/>
      <c r="BJ506" s="13"/>
      <c r="BK506" s="13"/>
      <c r="BL506" s="13"/>
      <c r="BM506" s="13"/>
      <c r="BN506" s="13"/>
      <c r="BO506" s="13"/>
      <c r="BP506" s="18"/>
    </row>
    <row r="507">
      <c r="L507" s="16"/>
      <c r="M507" s="17"/>
      <c r="BG507" s="10"/>
      <c r="BH507" s="13"/>
      <c r="BI507" s="13"/>
      <c r="BJ507" s="13"/>
      <c r="BK507" s="13"/>
      <c r="BL507" s="13"/>
      <c r="BM507" s="13"/>
      <c r="BN507" s="13"/>
      <c r="BO507" s="13"/>
      <c r="BP507" s="18"/>
    </row>
    <row r="508">
      <c r="L508" s="16"/>
      <c r="M508" s="17"/>
      <c r="BG508" s="10"/>
      <c r="BH508" s="13"/>
      <c r="BI508" s="13"/>
      <c r="BJ508" s="13"/>
      <c r="BK508" s="13"/>
      <c r="BL508" s="13"/>
      <c r="BM508" s="13"/>
      <c r="BN508" s="13"/>
      <c r="BO508" s="13"/>
      <c r="BP508" s="18"/>
    </row>
    <row r="509">
      <c r="L509" s="16"/>
      <c r="M509" s="17"/>
      <c r="BG509" s="10"/>
      <c r="BH509" s="13"/>
      <c r="BI509" s="13"/>
      <c r="BJ509" s="13"/>
      <c r="BK509" s="13"/>
      <c r="BL509" s="13"/>
      <c r="BM509" s="13"/>
      <c r="BN509" s="13"/>
      <c r="BO509" s="13"/>
      <c r="BP509" s="18"/>
    </row>
    <row r="510">
      <c r="L510" s="16"/>
      <c r="M510" s="17"/>
      <c r="BG510" s="10"/>
      <c r="BH510" s="13"/>
      <c r="BI510" s="13"/>
      <c r="BJ510" s="13"/>
      <c r="BK510" s="13"/>
      <c r="BL510" s="13"/>
      <c r="BM510" s="13"/>
      <c r="BN510" s="13"/>
      <c r="BO510" s="13"/>
      <c r="BP510" s="18"/>
    </row>
    <row r="511">
      <c r="L511" s="16"/>
      <c r="M511" s="17"/>
      <c r="BG511" s="10"/>
      <c r="BH511" s="13"/>
      <c r="BI511" s="13"/>
      <c r="BJ511" s="13"/>
      <c r="BK511" s="13"/>
      <c r="BL511" s="13"/>
      <c r="BM511" s="13"/>
      <c r="BN511" s="13"/>
      <c r="BO511" s="13"/>
      <c r="BP511" s="18"/>
    </row>
    <row r="512">
      <c r="L512" s="16"/>
      <c r="M512" s="17"/>
      <c r="BG512" s="10"/>
      <c r="BH512" s="13"/>
      <c r="BI512" s="13"/>
      <c r="BJ512" s="13"/>
      <c r="BK512" s="13"/>
      <c r="BL512" s="13"/>
      <c r="BM512" s="13"/>
      <c r="BN512" s="13"/>
      <c r="BO512" s="13"/>
      <c r="BP512" s="18"/>
    </row>
    <row r="513">
      <c r="L513" s="16"/>
      <c r="M513" s="17"/>
      <c r="BG513" s="10"/>
      <c r="BH513" s="13"/>
      <c r="BI513" s="13"/>
      <c r="BJ513" s="13"/>
      <c r="BK513" s="13"/>
      <c r="BL513" s="13"/>
      <c r="BM513" s="13"/>
      <c r="BN513" s="13"/>
      <c r="BO513" s="13"/>
      <c r="BP513" s="18"/>
    </row>
    <row r="514">
      <c r="L514" s="16"/>
      <c r="M514" s="17"/>
      <c r="BG514" s="10"/>
      <c r="BH514" s="13"/>
      <c r="BI514" s="13"/>
      <c r="BJ514" s="13"/>
      <c r="BK514" s="13"/>
      <c r="BL514" s="13"/>
      <c r="BM514" s="13"/>
      <c r="BN514" s="13"/>
      <c r="BO514" s="13"/>
      <c r="BP514" s="18"/>
    </row>
    <row r="515">
      <c r="L515" s="16"/>
      <c r="M515" s="17"/>
      <c r="BG515" s="10"/>
      <c r="BH515" s="13"/>
      <c r="BI515" s="13"/>
      <c r="BJ515" s="13"/>
      <c r="BK515" s="13"/>
      <c r="BL515" s="13"/>
      <c r="BM515" s="13"/>
      <c r="BN515" s="13"/>
      <c r="BO515" s="13"/>
      <c r="BP515" s="18"/>
    </row>
    <row r="516">
      <c r="L516" s="16"/>
      <c r="M516" s="17"/>
      <c r="BG516" s="10"/>
      <c r="BH516" s="13"/>
      <c r="BI516" s="13"/>
      <c r="BJ516" s="13"/>
      <c r="BK516" s="13"/>
      <c r="BL516" s="13"/>
      <c r="BM516" s="13"/>
      <c r="BN516" s="13"/>
      <c r="BO516" s="13"/>
      <c r="BP516" s="18"/>
    </row>
    <row r="517">
      <c r="L517" s="16"/>
      <c r="M517" s="17"/>
      <c r="BG517" s="10"/>
      <c r="BH517" s="13"/>
      <c r="BI517" s="13"/>
      <c r="BJ517" s="13"/>
      <c r="BK517" s="13"/>
      <c r="BL517" s="13"/>
      <c r="BM517" s="13"/>
      <c r="BN517" s="13"/>
      <c r="BO517" s="13"/>
      <c r="BP517" s="18"/>
    </row>
    <row r="518">
      <c r="L518" s="16"/>
      <c r="M518" s="17"/>
      <c r="BG518" s="10"/>
      <c r="BH518" s="13"/>
      <c r="BI518" s="13"/>
      <c r="BJ518" s="13"/>
      <c r="BK518" s="13"/>
      <c r="BL518" s="13"/>
      <c r="BM518" s="13"/>
      <c r="BN518" s="13"/>
      <c r="BO518" s="13"/>
      <c r="BP518" s="18"/>
    </row>
    <row r="519">
      <c r="L519" s="16"/>
      <c r="M519" s="17"/>
      <c r="BG519" s="10"/>
      <c r="BH519" s="13"/>
      <c r="BI519" s="13"/>
      <c r="BJ519" s="13"/>
      <c r="BK519" s="13"/>
      <c r="BL519" s="13"/>
      <c r="BM519" s="13"/>
      <c r="BN519" s="13"/>
      <c r="BO519" s="13"/>
      <c r="BP519" s="18"/>
    </row>
    <row r="520">
      <c r="L520" s="16"/>
      <c r="M520" s="17"/>
      <c r="BG520" s="10"/>
      <c r="BH520" s="13"/>
      <c r="BI520" s="13"/>
      <c r="BJ520" s="13"/>
      <c r="BK520" s="13"/>
      <c r="BL520" s="13"/>
      <c r="BM520" s="13"/>
      <c r="BN520" s="13"/>
      <c r="BO520" s="13"/>
      <c r="BP520" s="18"/>
    </row>
    <row r="521">
      <c r="L521" s="16"/>
      <c r="M521" s="17"/>
      <c r="BG521" s="10"/>
      <c r="BH521" s="13"/>
      <c r="BI521" s="13"/>
      <c r="BJ521" s="13"/>
      <c r="BK521" s="13"/>
      <c r="BL521" s="13"/>
      <c r="BM521" s="13"/>
      <c r="BN521" s="13"/>
      <c r="BO521" s="13"/>
      <c r="BP521" s="18"/>
    </row>
    <row r="522">
      <c r="L522" s="16"/>
      <c r="M522" s="17"/>
      <c r="BG522" s="10"/>
      <c r="BH522" s="13"/>
      <c r="BI522" s="13"/>
      <c r="BJ522" s="13"/>
      <c r="BK522" s="13"/>
      <c r="BL522" s="13"/>
      <c r="BM522" s="13"/>
      <c r="BN522" s="13"/>
      <c r="BO522" s="13"/>
      <c r="BP522" s="18"/>
    </row>
    <row r="523">
      <c r="L523" s="16"/>
      <c r="M523" s="17"/>
      <c r="BG523" s="10"/>
      <c r="BH523" s="13"/>
      <c r="BI523" s="13"/>
      <c r="BJ523" s="13"/>
      <c r="BK523" s="13"/>
      <c r="BL523" s="13"/>
      <c r="BM523" s="13"/>
      <c r="BN523" s="13"/>
      <c r="BO523" s="13"/>
      <c r="BP523" s="18"/>
    </row>
    <row r="524">
      <c r="L524" s="16"/>
      <c r="M524" s="17"/>
      <c r="BG524" s="10"/>
      <c r="BH524" s="13"/>
      <c r="BI524" s="13"/>
      <c r="BJ524" s="13"/>
      <c r="BK524" s="13"/>
      <c r="BL524" s="13"/>
      <c r="BM524" s="13"/>
      <c r="BN524" s="13"/>
      <c r="BO524" s="13"/>
      <c r="BP524" s="18"/>
    </row>
    <row r="525">
      <c r="L525" s="16"/>
      <c r="M525" s="17"/>
      <c r="BG525" s="10"/>
      <c r="BH525" s="13"/>
      <c r="BI525" s="13"/>
      <c r="BJ525" s="13"/>
      <c r="BK525" s="13"/>
      <c r="BL525" s="13"/>
      <c r="BM525" s="13"/>
      <c r="BN525" s="13"/>
      <c r="BO525" s="13"/>
      <c r="BP525" s="18"/>
    </row>
    <row r="526">
      <c r="L526" s="16"/>
      <c r="M526" s="17"/>
      <c r="BG526" s="10"/>
      <c r="BH526" s="13"/>
      <c r="BI526" s="13"/>
      <c r="BJ526" s="13"/>
      <c r="BK526" s="13"/>
      <c r="BL526" s="13"/>
      <c r="BM526" s="13"/>
      <c r="BN526" s="13"/>
      <c r="BO526" s="13"/>
      <c r="BP526" s="18"/>
    </row>
    <row r="527">
      <c r="L527" s="16"/>
      <c r="M527" s="17"/>
      <c r="BG527" s="10"/>
      <c r="BH527" s="13"/>
      <c r="BI527" s="13"/>
      <c r="BJ527" s="13"/>
      <c r="BK527" s="13"/>
      <c r="BL527" s="13"/>
      <c r="BM527" s="13"/>
      <c r="BN527" s="13"/>
      <c r="BO527" s="13"/>
      <c r="BP527" s="18"/>
    </row>
    <row r="528">
      <c r="L528" s="16"/>
      <c r="M528" s="17"/>
      <c r="BG528" s="10"/>
      <c r="BH528" s="13"/>
      <c r="BI528" s="13"/>
      <c r="BJ528" s="13"/>
      <c r="BK528" s="13"/>
      <c r="BL528" s="13"/>
      <c r="BM528" s="13"/>
      <c r="BN528" s="13"/>
      <c r="BO528" s="13"/>
      <c r="BP528" s="18"/>
    </row>
    <row r="529">
      <c r="L529" s="16"/>
      <c r="M529" s="17"/>
      <c r="BG529" s="10"/>
      <c r="BH529" s="13"/>
      <c r="BI529" s="13"/>
      <c r="BJ529" s="13"/>
      <c r="BK529" s="13"/>
      <c r="BL529" s="13"/>
      <c r="BM529" s="13"/>
      <c r="BN529" s="13"/>
      <c r="BO529" s="13"/>
      <c r="BP529" s="18"/>
    </row>
    <row r="530">
      <c r="L530" s="16"/>
      <c r="M530" s="17"/>
      <c r="BG530" s="10"/>
      <c r="BH530" s="13"/>
      <c r="BI530" s="13"/>
      <c r="BJ530" s="13"/>
      <c r="BK530" s="13"/>
      <c r="BL530" s="13"/>
      <c r="BM530" s="13"/>
      <c r="BN530" s="13"/>
      <c r="BO530" s="13"/>
      <c r="BP530" s="18"/>
    </row>
    <row r="531">
      <c r="L531" s="16"/>
      <c r="M531" s="17"/>
      <c r="BG531" s="10"/>
      <c r="BH531" s="13"/>
      <c r="BI531" s="13"/>
      <c r="BJ531" s="13"/>
      <c r="BK531" s="13"/>
      <c r="BL531" s="13"/>
      <c r="BM531" s="13"/>
      <c r="BN531" s="13"/>
      <c r="BO531" s="13"/>
      <c r="BP531" s="18"/>
    </row>
    <row r="532">
      <c r="L532" s="16"/>
      <c r="M532" s="17"/>
      <c r="BG532" s="10"/>
      <c r="BH532" s="13"/>
      <c r="BI532" s="13"/>
      <c r="BJ532" s="13"/>
      <c r="BK532" s="13"/>
      <c r="BL532" s="13"/>
      <c r="BM532" s="13"/>
      <c r="BN532" s="13"/>
      <c r="BO532" s="13"/>
      <c r="BP532" s="18"/>
    </row>
    <row r="533">
      <c r="L533" s="16"/>
      <c r="M533" s="17"/>
      <c r="BG533" s="10"/>
      <c r="BH533" s="13"/>
      <c r="BI533" s="13"/>
      <c r="BJ533" s="13"/>
      <c r="BK533" s="13"/>
      <c r="BL533" s="13"/>
      <c r="BM533" s="13"/>
      <c r="BN533" s="13"/>
      <c r="BO533" s="13"/>
      <c r="BP533" s="18"/>
    </row>
    <row r="534">
      <c r="L534" s="16"/>
      <c r="M534" s="17"/>
      <c r="BG534" s="10"/>
      <c r="BH534" s="13"/>
      <c r="BI534" s="13"/>
      <c r="BJ534" s="13"/>
      <c r="BK534" s="13"/>
      <c r="BL534" s="13"/>
      <c r="BM534" s="13"/>
      <c r="BN534" s="13"/>
      <c r="BO534" s="13"/>
      <c r="BP534" s="18"/>
    </row>
    <row r="535">
      <c r="L535" s="16"/>
      <c r="M535" s="17"/>
      <c r="BG535" s="10"/>
      <c r="BH535" s="13"/>
      <c r="BI535" s="13"/>
      <c r="BJ535" s="13"/>
      <c r="BK535" s="13"/>
      <c r="BL535" s="13"/>
      <c r="BM535" s="13"/>
      <c r="BN535" s="13"/>
      <c r="BO535" s="13"/>
      <c r="BP535" s="18"/>
    </row>
    <row r="536">
      <c r="L536" s="16"/>
      <c r="M536" s="17"/>
      <c r="BG536" s="10"/>
      <c r="BH536" s="13"/>
      <c r="BI536" s="13"/>
      <c r="BJ536" s="13"/>
      <c r="BK536" s="13"/>
      <c r="BL536" s="13"/>
      <c r="BM536" s="13"/>
      <c r="BN536" s="13"/>
      <c r="BO536" s="13"/>
      <c r="BP536" s="18"/>
    </row>
    <row r="537">
      <c r="L537" s="16"/>
      <c r="M537" s="17"/>
      <c r="BG537" s="10"/>
      <c r="BH537" s="13"/>
      <c r="BI537" s="13"/>
      <c r="BJ537" s="13"/>
      <c r="BK537" s="13"/>
      <c r="BL537" s="13"/>
      <c r="BM537" s="13"/>
      <c r="BN537" s="13"/>
      <c r="BO537" s="13"/>
      <c r="BP537" s="18"/>
    </row>
    <row r="538">
      <c r="L538" s="16"/>
      <c r="M538" s="17"/>
      <c r="BG538" s="10"/>
      <c r="BH538" s="13"/>
      <c r="BI538" s="13"/>
      <c r="BJ538" s="13"/>
      <c r="BK538" s="13"/>
      <c r="BL538" s="13"/>
      <c r="BM538" s="13"/>
      <c r="BN538" s="13"/>
      <c r="BO538" s="13"/>
      <c r="BP538" s="18"/>
    </row>
    <row r="539">
      <c r="L539" s="16"/>
      <c r="M539" s="17"/>
      <c r="BG539" s="10"/>
      <c r="BH539" s="13"/>
      <c r="BI539" s="13"/>
      <c r="BJ539" s="13"/>
      <c r="BK539" s="13"/>
      <c r="BL539" s="13"/>
      <c r="BM539" s="13"/>
      <c r="BN539" s="13"/>
      <c r="BO539" s="13"/>
      <c r="BP539" s="18"/>
    </row>
    <row r="540">
      <c r="L540" s="16"/>
      <c r="M540" s="17"/>
      <c r="BG540" s="10"/>
      <c r="BH540" s="13"/>
      <c r="BI540" s="13"/>
      <c r="BJ540" s="13"/>
      <c r="BK540" s="13"/>
      <c r="BL540" s="13"/>
      <c r="BM540" s="13"/>
      <c r="BN540" s="13"/>
      <c r="BO540" s="13"/>
      <c r="BP540" s="18"/>
    </row>
    <row r="541">
      <c r="L541" s="16"/>
      <c r="M541" s="17"/>
      <c r="BG541" s="10"/>
      <c r="BH541" s="13"/>
      <c r="BI541" s="13"/>
      <c r="BJ541" s="13"/>
      <c r="BK541" s="13"/>
      <c r="BL541" s="13"/>
      <c r="BM541" s="13"/>
      <c r="BN541" s="13"/>
      <c r="BO541" s="13"/>
      <c r="BP541" s="18"/>
    </row>
    <row r="542">
      <c r="L542" s="16"/>
      <c r="M542" s="17"/>
      <c r="BG542" s="10"/>
      <c r="BH542" s="13"/>
      <c r="BI542" s="13"/>
      <c r="BJ542" s="13"/>
      <c r="BK542" s="13"/>
      <c r="BL542" s="13"/>
      <c r="BM542" s="13"/>
      <c r="BN542" s="13"/>
      <c r="BO542" s="13"/>
      <c r="BP542" s="18"/>
    </row>
    <row r="543">
      <c r="L543" s="16"/>
      <c r="M543" s="17"/>
      <c r="BG543" s="10"/>
      <c r="BH543" s="13"/>
      <c r="BI543" s="13"/>
      <c r="BJ543" s="13"/>
      <c r="BK543" s="13"/>
      <c r="BL543" s="13"/>
      <c r="BM543" s="13"/>
      <c r="BN543" s="13"/>
      <c r="BO543" s="13"/>
      <c r="BP543" s="18"/>
    </row>
    <row r="544">
      <c r="L544" s="16"/>
      <c r="M544" s="17"/>
      <c r="BG544" s="10"/>
      <c r="BH544" s="13"/>
      <c r="BI544" s="13"/>
      <c r="BJ544" s="13"/>
      <c r="BK544" s="13"/>
      <c r="BL544" s="13"/>
      <c r="BM544" s="13"/>
      <c r="BN544" s="13"/>
      <c r="BO544" s="13"/>
      <c r="BP544" s="18"/>
    </row>
    <row r="545">
      <c r="L545" s="16"/>
      <c r="M545" s="17"/>
      <c r="BG545" s="10"/>
      <c r="BH545" s="13"/>
      <c r="BI545" s="13"/>
      <c r="BJ545" s="13"/>
      <c r="BK545" s="13"/>
      <c r="BL545" s="13"/>
      <c r="BM545" s="13"/>
      <c r="BN545" s="13"/>
      <c r="BO545" s="13"/>
      <c r="BP545" s="18"/>
    </row>
    <row r="546">
      <c r="L546" s="16"/>
      <c r="M546" s="17"/>
      <c r="BG546" s="10"/>
      <c r="BH546" s="13"/>
      <c r="BI546" s="13"/>
      <c r="BJ546" s="13"/>
      <c r="BK546" s="13"/>
      <c r="BL546" s="13"/>
      <c r="BM546" s="13"/>
      <c r="BN546" s="13"/>
      <c r="BO546" s="13"/>
      <c r="BP546" s="18"/>
    </row>
    <row r="547">
      <c r="L547" s="16"/>
      <c r="M547" s="17"/>
      <c r="BG547" s="10"/>
      <c r="BH547" s="13"/>
      <c r="BI547" s="13"/>
      <c r="BJ547" s="13"/>
      <c r="BK547" s="13"/>
      <c r="BL547" s="13"/>
      <c r="BM547" s="13"/>
      <c r="BN547" s="13"/>
      <c r="BO547" s="13"/>
      <c r="BP547" s="18"/>
    </row>
    <row r="548">
      <c r="L548" s="16"/>
      <c r="M548" s="17"/>
      <c r="BG548" s="10"/>
      <c r="BH548" s="13"/>
      <c r="BI548" s="13"/>
      <c r="BJ548" s="13"/>
      <c r="BK548" s="13"/>
      <c r="BL548" s="13"/>
      <c r="BM548" s="13"/>
      <c r="BN548" s="13"/>
      <c r="BO548" s="13"/>
      <c r="BP548" s="18"/>
    </row>
    <row r="549">
      <c r="L549" s="16"/>
      <c r="M549" s="17"/>
      <c r="BG549" s="10"/>
      <c r="BH549" s="13"/>
      <c r="BI549" s="13"/>
      <c r="BJ549" s="13"/>
      <c r="BK549" s="13"/>
      <c r="BL549" s="13"/>
      <c r="BM549" s="13"/>
      <c r="BN549" s="13"/>
      <c r="BO549" s="13"/>
      <c r="BP549" s="18"/>
    </row>
    <row r="550">
      <c r="L550" s="16"/>
      <c r="M550" s="17"/>
      <c r="BG550" s="10"/>
      <c r="BH550" s="13"/>
      <c r="BI550" s="13"/>
      <c r="BJ550" s="13"/>
      <c r="BK550" s="13"/>
      <c r="BL550" s="13"/>
      <c r="BM550" s="13"/>
      <c r="BN550" s="13"/>
      <c r="BO550" s="13"/>
      <c r="BP550" s="18"/>
    </row>
    <row r="551">
      <c r="L551" s="16"/>
      <c r="M551" s="17"/>
      <c r="BG551" s="10"/>
      <c r="BH551" s="13"/>
      <c r="BI551" s="13"/>
      <c r="BJ551" s="13"/>
      <c r="BK551" s="13"/>
      <c r="BL551" s="13"/>
      <c r="BM551" s="13"/>
      <c r="BN551" s="13"/>
      <c r="BO551" s="13"/>
      <c r="BP551" s="18"/>
    </row>
    <row r="552">
      <c r="L552" s="16"/>
      <c r="M552" s="17"/>
      <c r="BG552" s="10"/>
      <c r="BH552" s="13"/>
      <c r="BI552" s="13"/>
      <c r="BJ552" s="13"/>
      <c r="BK552" s="13"/>
      <c r="BL552" s="13"/>
      <c r="BM552" s="13"/>
      <c r="BN552" s="13"/>
      <c r="BO552" s="13"/>
      <c r="BP552" s="18"/>
    </row>
    <row r="553">
      <c r="L553" s="16"/>
      <c r="M553" s="17"/>
      <c r="BG553" s="10"/>
      <c r="BH553" s="13"/>
      <c r="BI553" s="13"/>
      <c r="BJ553" s="13"/>
      <c r="BK553" s="13"/>
      <c r="BL553" s="13"/>
      <c r="BM553" s="13"/>
      <c r="BN553" s="13"/>
      <c r="BO553" s="13"/>
      <c r="BP553" s="18"/>
    </row>
    <row r="554">
      <c r="L554" s="16"/>
      <c r="M554" s="17"/>
      <c r="BG554" s="10"/>
      <c r="BH554" s="13"/>
      <c r="BI554" s="13"/>
      <c r="BJ554" s="13"/>
      <c r="BK554" s="13"/>
      <c r="BL554" s="13"/>
      <c r="BM554" s="13"/>
      <c r="BN554" s="13"/>
      <c r="BO554" s="13"/>
      <c r="BP554" s="18"/>
    </row>
    <row r="555">
      <c r="L555" s="16"/>
      <c r="M555" s="17"/>
      <c r="BG555" s="10"/>
      <c r="BH555" s="13"/>
      <c r="BI555" s="13"/>
      <c r="BJ555" s="13"/>
      <c r="BK555" s="13"/>
      <c r="BL555" s="13"/>
      <c r="BM555" s="13"/>
      <c r="BN555" s="13"/>
      <c r="BO555" s="13"/>
      <c r="BP555" s="18"/>
    </row>
    <row r="556">
      <c r="L556" s="16"/>
      <c r="M556" s="17"/>
      <c r="BG556" s="10"/>
      <c r="BH556" s="13"/>
      <c r="BI556" s="13"/>
      <c r="BJ556" s="13"/>
      <c r="BK556" s="13"/>
      <c r="BL556" s="13"/>
      <c r="BM556" s="13"/>
      <c r="BN556" s="13"/>
      <c r="BO556" s="13"/>
      <c r="BP556" s="18"/>
    </row>
    <row r="557">
      <c r="L557" s="16"/>
      <c r="M557" s="17"/>
      <c r="BG557" s="10"/>
      <c r="BH557" s="13"/>
      <c r="BI557" s="13"/>
      <c r="BJ557" s="13"/>
      <c r="BK557" s="13"/>
      <c r="BL557" s="13"/>
      <c r="BM557" s="13"/>
      <c r="BN557" s="13"/>
      <c r="BO557" s="13"/>
      <c r="BP557" s="18"/>
    </row>
    <row r="558">
      <c r="L558" s="16"/>
      <c r="M558" s="17"/>
      <c r="BG558" s="10"/>
      <c r="BH558" s="13"/>
      <c r="BI558" s="13"/>
      <c r="BJ558" s="13"/>
      <c r="BK558" s="13"/>
      <c r="BL558" s="13"/>
      <c r="BM558" s="13"/>
      <c r="BN558" s="13"/>
      <c r="BO558" s="13"/>
      <c r="BP558" s="18"/>
    </row>
    <row r="559">
      <c r="L559" s="16"/>
      <c r="M559" s="17"/>
      <c r="BG559" s="10"/>
      <c r="BH559" s="13"/>
      <c r="BI559" s="13"/>
      <c r="BJ559" s="13"/>
      <c r="BK559" s="13"/>
      <c r="BL559" s="13"/>
      <c r="BM559" s="13"/>
      <c r="BN559" s="13"/>
      <c r="BO559" s="13"/>
      <c r="BP559" s="18"/>
    </row>
    <row r="560">
      <c r="L560" s="16"/>
      <c r="M560" s="17"/>
      <c r="BG560" s="10"/>
      <c r="BH560" s="13"/>
      <c r="BI560" s="13"/>
      <c r="BJ560" s="13"/>
      <c r="BK560" s="13"/>
      <c r="BL560" s="13"/>
      <c r="BM560" s="13"/>
      <c r="BN560" s="13"/>
      <c r="BO560" s="13"/>
      <c r="BP560" s="18"/>
    </row>
    <row r="561">
      <c r="L561" s="16"/>
      <c r="M561" s="17"/>
      <c r="BG561" s="10"/>
      <c r="BH561" s="13"/>
      <c r="BI561" s="13"/>
      <c r="BJ561" s="13"/>
      <c r="BK561" s="13"/>
      <c r="BL561" s="13"/>
      <c r="BM561" s="13"/>
      <c r="BN561" s="13"/>
      <c r="BO561" s="13"/>
      <c r="BP561" s="18"/>
    </row>
    <row r="562">
      <c r="L562" s="16"/>
      <c r="M562" s="17"/>
      <c r="BG562" s="10"/>
      <c r="BH562" s="13"/>
      <c r="BI562" s="13"/>
      <c r="BJ562" s="13"/>
      <c r="BK562" s="13"/>
      <c r="BL562" s="13"/>
      <c r="BM562" s="13"/>
      <c r="BN562" s="13"/>
      <c r="BO562" s="13"/>
      <c r="BP562" s="18"/>
    </row>
    <row r="563">
      <c r="L563" s="16"/>
      <c r="M563" s="17"/>
      <c r="BG563" s="10"/>
      <c r="BH563" s="13"/>
      <c r="BI563" s="13"/>
      <c r="BJ563" s="13"/>
      <c r="BK563" s="13"/>
      <c r="BL563" s="13"/>
      <c r="BM563" s="13"/>
      <c r="BN563" s="13"/>
      <c r="BO563" s="13"/>
      <c r="BP563" s="18"/>
    </row>
    <row r="564">
      <c r="L564" s="16"/>
      <c r="M564" s="17"/>
      <c r="BG564" s="10"/>
      <c r="BH564" s="13"/>
      <c r="BI564" s="13"/>
      <c r="BJ564" s="13"/>
      <c r="BK564" s="13"/>
      <c r="BL564" s="13"/>
      <c r="BM564" s="13"/>
      <c r="BN564" s="13"/>
      <c r="BO564" s="13"/>
      <c r="BP564" s="18"/>
    </row>
    <row r="565">
      <c r="L565" s="16"/>
      <c r="M565" s="17"/>
      <c r="BG565" s="10"/>
      <c r="BH565" s="13"/>
      <c r="BI565" s="13"/>
      <c r="BJ565" s="13"/>
      <c r="BK565" s="13"/>
      <c r="BL565" s="13"/>
      <c r="BM565" s="13"/>
      <c r="BN565" s="13"/>
      <c r="BO565" s="13"/>
      <c r="BP565" s="18"/>
    </row>
    <row r="566">
      <c r="L566" s="16"/>
      <c r="M566" s="17"/>
      <c r="BG566" s="10"/>
      <c r="BH566" s="13"/>
      <c r="BI566" s="13"/>
      <c r="BJ566" s="13"/>
      <c r="BK566" s="13"/>
      <c r="BL566" s="13"/>
      <c r="BM566" s="13"/>
      <c r="BN566" s="13"/>
      <c r="BO566" s="13"/>
      <c r="BP566" s="18"/>
    </row>
    <row r="567">
      <c r="L567" s="16"/>
      <c r="M567" s="17"/>
      <c r="BG567" s="10"/>
      <c r="BH567" s="13"/>
      <c r="BI567" s="13"/>
      <c r="BJ567" s="13"/>
      <c r="BK567" s="13"/>
      <c r="BL567" s="13"/>
      <c r="BM567" s="13"/>
      <c r="BN567" s="13"/>
      <c r="BO567" s="13"/>
      <c r="BP567" s="18"/>
    </row>
    <row r="568">
      <c r="L568" s="16"/>
      <c r="M568" s="17"/>
      <c r="BG568" s="10"/>
      <c r="BH568" s="13"/>
      <c r="BI568" s="13"/>
      <c r="BJ568" s="13"/>
      <c r="BK568" s="13"/>
      <c r="BL568" s="13"/>
      <c r="BM568" s="13"/>
      <c r="BN568" s="13"/>
      <c r="BO568" s="13"/>
      <c r="BP568" s="18"/>
    </row>
    <row r="569">
      <c r="L569" s="16"/>
      <c r="M569" s="17"/>
      <c r="BG569" s="10"/>
      <c r="BH569" s="13"/>
      <c r="BI569" s="13"/>
      <c r="BJ569" s="13"/>
      <c r="BK569" s="13"/>
      <c r="BL569" s="13"/>
      <c r="BM569" s="13"/>
      <c r="BN569" s="13"/>
      <c r="BO569" s="13"/>
      <c r="BP569" s="18"/>
    </row>
    <row r="570">
      <c r="L570" s="16"/>
      <c r="M570" s="17"/>
      <c r="BG570" s="10"/>
      <c r="BH570" s="13"/>
      <c r="BI570" s="13"/>
      <c r="BJ570" s="13"/>
      <c r="BK570" s="13"/>
      <c r="BL570" s="13"/>
      <c r="BM570" s="13"/>
      <c r="BN570" s="13"/>
      <c r="BO570" s="13"/>
      <c r="BP570" s="18"/>
    </row>
    <row r="571">
      <c r="L571" s="16"/>
      <c r="M571" s="17"/>
      <c r="BG571" s="10"/>
      <c r="BH571" s="13"/>
      <c r="BI571" s="13"/>
      <c r="BJ571" s="13"/>
      <c r="BK571" s="13"/>
      <c r="BL571" s="13"/>
      <c r="BM571" s="13"/>
      <c r="BN571" s="13"/>
      <c r="BO571" s="13"/>
      <c r="BP571" s="18"/>
    </row>
    <row r="572">
      <c r="L572" s="16"/>
      <c r="M572" s="17"/>
      <c r="BG572" s="10"/>
      <c r="BH572" s="13"/>
      <c r="BI572" s="13"/>
      <c r="BJ572" s="13"/>
      <c r="BK572" s="13"/>
      <c r="BL572" s="13"/>
      <c r="BM572" s="13"/>
      <c r="BN572" s="13"/>
      <c r="BO572" s="13"/>
      <c r="BP572" s="18"/>
    </row>
    <row r="573">
      <c r="L573" s="16"/>
      <c r="M573" s="17"/>
      <c r="BG573" s="10"/>
      <c r="BH573" s="13"/>
      <c r="BI573" s="13"/>
      <c r="BJ573" s="13"/>
      <c r="BK573" s="13"/>
      <c r="BL573" s="13"/>
      <c r="BM573" s="13"/>
      <c r="BN573" s="13"/>
      <c r="BO573" s="13"/>
      <c r="BP573" s="18"/>
    </row>
    <row r="574">
      <c r="L574" s="16"/>
      <c r="M574" s="17"/>
      <c r="BG574" s="10"/>
      <c r="BH574" s="13"/>
      <c r="BI574" s="13"/>
      <c r="BJ574" s="13"/>
      <c r="BK574" s="13"/>
      <c r="BL574" s="13"/>
      <c r="BM574" s="13"/>
      <c r="BN574" s="13"/>
      <c r="BO574" s="13"/>
      <c r="BP574" s="18"/>
    </row>
    <row r="575">
      <c r="L575" s="16"/>
      <c r="M575" s="17"/>
      <c r="BG575" s="10"/>
      <c r="BH575" s="13"/>
      <c r="BI575" s="13"/>
      <c r="BJ575" s="13"/>
      <c r="BK575" s="13"/>
      <c r="BL575" s="13"/>
      <c r="BM575" s="13"/>
      <c r="BN575" s="13"/>
      <c r="BO575" s="13"/>
      <c r="BP575" s="18"/>
    </row>
    <row r="576">
      <c r="L576" s="16"/>
      <c r="M576" s="17"/>
      <c r="BG576" s="10"/>
      <c r="BH576" s="13"/>
      <c r="BI576" s="13"/>
      <c r="BJ576" s="13"/>
      <c r="BK576" s="13"/>
      <c r="BL576" s="13"/>
      <c r="BM576" s="13"/>
      <c r="BN576" s="13"/>
      <c r="BO576" s="13"/>
      <c r="BP576" s="18"/>
    </row>
    <row r="577">
      <c r="L577" s="16"/>
      <c r="M577" s="17"/>
      <c r="BG577" s="10"/>
      <c r="BH577" s="13"/>
      <c r="BI577" s="13"/>
      <c r="BJ577" s="13"/>
      <c r="BK577" s="13"/>
      <c r="BL577" s="13"/>
      <c r="BM577" s="13"/>
      <c r="BN577" s="13"/>
      <c r="BO577" s="13"/>
      <c r="BP577" s="18"/>
    </row>
    <row r="578">
      <c r="L578" s="16"/>
      <c r="M578" s="17"/>
      <c r="BG578" s="10"/>
      <c r="BH578" s="13"/>
      <c r="BI578" s="13"/>
      <c r="BJ578" s="13"/>
      <c r="BK578" s="13"/>
      <c r="BL578" s="13"/>
      <c r="BM578" s="13"/>
      <c r="BN578" s="13"/>
      <c r="BO578" s="13"/>
      <c r="BP578" s="18"/>
    </row>
    <row r="579">
      <c r="L579" s="16"/>
      <c r="M579" s="17"/>
      <c r="BG579" s="10"/>
      <c r="BH579" s="13"/>
      <c r="BI579" s="13"/>
      <c r="BJ579" s="13"/>
      <c r="BK579" s="13"/>
      <c r="BL579" s="13"/>
      <c r="BM579" s="13"/>
      <c r="BN579" s="13"/>
      <c r="BO579" s="13"/>
      <c r="BP579" s="18"/>
    </row>
    <row r="580">
      <c r="L580" s="16"/>
      <c r="M580" s="17"/>
      <c r="BG580" s="10"/>
      <c r="BH580" s="13"/>
      <c r="BI580" s="13"/>
      <c r="BJ580" s="13"/>
      <c r="BK580" s="13"/>
      <c r="BL580" s="13"/>
      <c r="BM580" s="13"/>
      <c r="BN580" s="13"/>
      <c r="BO580" s="13"/>
      <c r="BP580" s="18"/>
    </row>
    <row r="581">
      <c r="L581" s="16"/>
      <c r="M581" s="17"/>
      <c r="BG581" s="10"/>
      <c r="BH581" s="13"/>
      <c r="BI581" s="13"/>
      <c r="BJ581" s="13"/>
      <c r="BK581" s="13"/>
      <c r="BL581" s="13"/>
      <c r="BM581" s="13"/>
      <c r="BN581" s="13"/>
      <c r="BO581" s="13"/>
      <c r="BP581" s="18"/>
    </row>
    <row r="582">
      <c r="L582" s="16"/>
      <c r="M582" s="17"/>
      <c r="BG582" s="10"/>
      <c r="BH582" s="13"/>
      <c r="BI582" s="13"/>
      <c r="BJ582" s="13"/>
      <c r="BK582" s="13"/>
      <c r="BL582" s="13"/>
      <c r="BM582" s="13"/>
      <c r="BN582" s="13"/>
      <c r="BO582" s="13"/>
      <c r="BP582" s="18"/>
    </row>
    <row r="583">
      <c r="L583" s="16"/>
      <c r="M583" s="17"/>
      <c r="BG583" s="10"/>
      <c r="BH583" s="13"/>
      <c r="BI583" s="13"/>
      <c r="BJ583" s="13"/>
      <c r="BK583" s="13"/>
      <c r="BL583" s="13"/>
      <c r="BM583" s="13"/>
      <c r="BN583" s="13"/>
      <c r="BO583" s="13"/>
      <c r="BP583" s="18"/>
    </row>
    <row r="584">
      <c r="L584" s="16"/>
      <c r="M584" s="17"/>
      <c r="BG584" s="10"/>
      <c r="BH584" s="13"/>
      <c r="BI584" s="13"/>
      <c r="BJ584" s="13"/>
      <c r="BK584" s="13"/>
      <c r="BL584" s="13"/>
      <c r="BM584" s="13"/>
      <c r="BN584" s="13"/>
      <c r="BO584" s="13"/>
      <c r="BP584" s="18"/>
    </row>
    <row r="585">
      <c r="L585" s="16"/>
      <c r="M585" s="17"/>
      <c r="BG585" s="10"/>
      <c r="BH585" s="13"/>
      <c r="BI585" s="13"/>
      <c r="BJ585" s="13"/>
      <c r="BK585" s="13"/>
      <c r="BL585" s="13"/>
      <c r="BM585" s="13"/>
      <c r="BN585" s="13"/>
      <c r="BO585" s="13"/>
      <c r="BP585" s="18"/>
    </row>
    <row r="586">
      <c r="L586" s="16"/>
      <c r="M586" s="17"/>
      <c r="BG586" s="10"/>
      <c r="BH586" s="13"/>
      <c r="BI586" s="13"/>
      <c r="BJ586" s="13"/>
      <c r="BK586" s="13"/>
      <c r="BL586" s="13"/>
      <c r="BM586" s="13"/>
      <c r="BN586" s="13"/>
      <c r="BO586" s="13"/>
      <c r="BP586" s="18"/>
    </row>
    <row r="587">
      <c r="L587" s="16"/>
      <c r="M587" s="17"/>
      <c r="BG587" s="10"/>
      <c r="BH587" s="13"/>
      <c r="BI587" s="13"/>
      <c r="BJ587" s="13"/>
      <c r="BK587" s="13"/>
      <c r="BL587" s="13"/>
      <c r="BM587" s="13"/>
      <c r="BN587" s="13"/>
      <c r="BO587" s="13"/>
      <c r="BP587" s="18"/>
    </row>
    <row r="588">
      <c r="L588" s="16"/>
      <c r="M588" s="17"/>
      <c r="BG588" s="10"/>
      <c r="BH588" s="13"/>
      <c r="BI588" s="13"/>
      <c r="BJ588" s="13"/>
      <c r="BK588" s="13"/>
      <c r="BL588" s="13"/>
      <c r="BM588" s="13"/>
      <c r="BN588" s="13"/>
      <c r="BO588" s="13"/>
      <c r="BP588" s="18"/>
    </row>
    <row r="589">
      <c r="L589" s="16"/>
      <c r="M589" s="17"/>
      <c r="BG589" s="10"/>
      <c r="BH589" s="13"/>
      <c r="BI589" s="13"/>
      <c r="BJ589" s="13"/>
      <c r="BK589" s="13"/>
      <c r="BL589" s="13"/>
      <c r="BM589" s="13"/>
      <c r="BN589" s="13"/>
      <c r="BO589" s="13"/>
      <c r="BP589" s="18"/>
    </row>
    <row r="590">
      <c r="L590" s="16"/>
      <c r="M590" s="17"/>
      <c r="BG590" s="10"/>
      <c r="BH590" s="13"/>
      <c r="BI590" s="13"/>
      <c r="BJ590" s="13"/>
      <c r="BK590" s="13"/>
      <c r="BL590" s="13"/>
      <c r="BM590" s="13"/>
      <c r="BN590" s="13"/>
      <c r="BO590" s="13"/>
      <c r="BP590" s="18"/>
    </row>
    <row r="591">
      <c r="L591" s="16"/>
      <c r="M591" s="17"/>
      <c r="BG591" s="10"/>
      <c r="BH591" s="13"/>
      <c r="BI591" s="13"/>
      <c r="BJ591" s="13"/>
      <c r="BK591" s="13"/>
      <c r="BL591" s="13"/>
      <c r="BM591" s="13"/>
      <c r="BN591" s="13"/>
      <c r="BO591" s="13"/>
      <c r="BP591" s="18"/>
    </row>
    <row r="592">
      <c r="L592" s="16"/>
      <c r="M592" s="17"/>
      <c r="BG592" s="10"/>
      <c r="BH592" s="13"/>
      <c r="BI592" s="13"/>
      <c r="BJ592" s="13"/>
      <c r="BK592" s="13"/>
      <c r="BL592" s="13"/>
      <c r="BM592" s="13"/>
      <c r="BN592" s="13"/>
      <c r="BO592" s="13"/>
      <c r="BP592" s="18"/>
    </row>
    <row r="593">
      <c r="L593" s="16"/>
      <c r="M593" s="17"/>
      <c r="BG593" s="10"/>
      <c r="BH593" s="13"/>
      <c r="BI593" s="13"/>
      <c r="BJ593" s="13"/>
      <c r="BK593" s="13"/>
      <c r="BL593" s="13"/>
      <c r="BM593" s="13"/>
      <c r="BN593" s="13"/>
      <c r="BO593" s="13"/>
      <c r="BP593" s="18"/>
    </row>
    <row r="594">
      <c r="L594" s="16"/>
      <c r="M594" s="17"/>
      <c r="BG594" s="10"/>
      <c r="BH594" s="13"/>
      <c r="BI594" s="13"/>
      <c r="BJ594" s="13"/>
      <c r="BK594" s="13"/>
      <c r="BL594" s="13"/>
      <c r="BM594" s="13"/>
      <c r="BN594" s="13"/>
      <c r="BO594" s="13"/>
      <c r="BP594" s="18"/>
    </row>
    <row r="595">
      <c r="L595" s="16"/>
      <c r="M595" s="17"/>
      <c r="BG595" s="10"/>
      <c r="BH595" s="13"/>
      <c r="BI595" s="13"/>
      <c r="BJ595" s="13"/>
      <c r="BK595" s="13"/>
      <c r="BL595" s="13"/>
      <c r="BM595" s="13"/>
      <c r="BN595" s="13"/>
      <c r="BO595" s="13"/>
      <c r="BP595" s="18"/>
    </row>
    <row r="596">
      <c r="L596" s="16"/>
      <c r="M596" s="17"/>
      <c r="BG596" s="10"/>
      <c r="BH596" s="13"/>
      <c r="BI596" s="13"/>
      <c r="BJ596" s="13"/>
      <c r="BK596" s="13"/>
      <c r="BL596" s="13"/>
      <c r="BM596" s="13"/>
      <c r="BN596" s="13"/>
      <c r="BO596" s="13"/>
      <c r="BP596" s="18"/>
    </row>
    <row r="597">
      <c r="L597" s="16"/>
      <c r="M597" s="17"/>
      <c r="BG597" s="10"/>
      <c r="BH597" s="13"/>
      <c r="BI597" s="13"/>
      <c r="BJ597" s="13"/>
      <c r="BK597" s="13"/>
      <c r="BL597" s="13"/>
      <c r="BM597" s="13"/>
      <c r="BN597" s="13"/>
      <c r="BO597" s="13"/>
      <c r="BP597" s="18"/>
    </row>
    <row r="598">
      <c r="L598" s="16"/>
      <c r="M598" s="17"/>
      <c r="BG598" s="10"/>
      <c r="BH598" s="13"/>
      <c r="BI598" s="13"/>
      <c r="BJ598" s="13"/>
      <c r="BK598" s="13"/>
      <c r="BL598" s="13"/>
      <c r="BM598" s="13"/>
      <c r="BN598" s="13"/>
      <c r="BO598" s="13"/>
      <c r="BP598" s="18"/>
    </row>
    <row r="599">
      <c r="L599" s="16"/>
      <c r="M599" s="17"/>
      <c r="BG599" s="10"/>
      <c r="BH599" s="13"/>
      <c r="BI599" s="13"/>
      <c r="BJ599" s="13"/>
      <c r="BK599" s="13"/>
      <c r="BL599" s="13"/>
      <c r="BM599" s="13"/>
      <c r="BN599" s="13"/>
      <c r="BO599" s="13"/>
      <c r="BP599" s="18"/>
    </row>
    <row r="600">
      <c r="L600" s="16"/>
      <c r="M600" s="17"/>
      <c r="BG600" s="10"/>
      <c r="BH600" s="13"/>
      <c r="BI600" s="13"/>
      <c r="BJ600" s="13"/>
      <c r="BK600" s="13"/>
      <c r="BL600" s="13"/>
      <c r="BM600" s="13"/>
      <c r="BN600" s="13"/>
      <c r="BO600" s="13"/>
      <c r="BP600" s="18"/>
    </row>
    <row r="601">
      <c r="L601" s="16"/>
      <c r="M601" s="17"/>
      <c r="BG601" s="10"/>
      <c r="BH601" s="13"/>
      <c r="BI601" s="13"/>
      <c r="BJ601" s="13"/>
      <c r="BK601" s="13"/>
      <c r="BL601" s="13"/>
      <c r="BM601" s="13"/>
      <c r="BN601" s="13"/>
      <c r="BO601" s="13"/>
      <c r="BP601" s="18"/>
    </row>
    <row r="602">
      <c r="L602" s="16"/>
      <c r="M602" s="17"/>
      <c r="BG602" s="10"/>
      <c r="BH602" s="13"/>
      <c r="BI602" s="13"/>
      <c r="BJ602" s="13"/>
      <c r="BK602" s="13"/>
      <c r="BL602" s="13"/>
      <c r="BM602" s="13"/>
      <c r="BN602" s="13"/>
      <c r="BO602" s="13"/>
      <c r="BP602" s="18"/>
    </row>
    <row r="603">
      <c r="L603" s="16"/>
      <c r="M603" s="17"/>
      <c r="BG603" s="10"/>
      <c r="BH603" s="13"/>
      <c r="BI603" s="13"/>
      <c r="BJ603" s="13"/>
      <c r="BK603" s="13"/>
      <c r="BL603" s="13"/>
      <c r="BM603" s="13"/>
      <c r="BN603" s="13"/>
      <c r="BO603" s="13"/>
      <c r="BP603" s="18"/>
    </row>
    <row r="604">
      <c r="L604" s="16"/>
      <c r="M604" s="17"/>
      <c r="BG604" s="10"/>
      <c r="BH604" s="13"/>
      <c r="BI604" s="13"/>
      <c r="BJ604" s="13"/>
      <c r="BK604" s="13"/>
      <c r="BL604" s="13"/>
      <c r="BM604" s="13"/>
      <c r="BN604" s="13"/>
      <c r="BO604" s="13"/>
      <c r="BP604" s="18"/>
    </row>
    <row r="605">
      <c r="L605" s="16"/>
      <c r="M605" s="17"/>
      <c r="BG605" s="10"/>
      <c r="BH605" s="13"/>
      <c r="BI605" s="13"/>
      <c r="BJ605" s="13"/>
      <c r="BK605" s="13"/>
      <c r="BL605" s="13"/>
      <c r="BM605" s="13"/>
      <c r="BN605" s="13"/>
      <c r="BO605" s="13"/>
      <c r="BP605" s="18"/>
    </row>
    <row r="606">
      <c r="L606" s="16"/>
      <c r="M606" s="17"/>
      <c r="BG606" s="10"/>
      <c r="BH606" s="13"/>
      <c r="BI606" s="13"/>
      <c r="BJ606" s="13"/>
      <c r="BK606" s="13"/>
      <c r="BL606" s="13"/>
      <c r="BM606" s="13"/>
      <c r="BN606" s="13"/>
      <c r="BO606" s="13"/>
      <c r="BP606" s="18"/>
    </row>
    <row r="607">
      <c r="L607" s="16"/>
      <c r="M607" s="17"/>
      <c r="BG607" s="10"/>
      <c r="BH607" s="13"/>
      <c r="BI607" s="13"/>
      <c r="BJ607" s="13"/>
      <c r="BK607" s="13"/>
      <c r="BL607" s="13"/>
      <c r="BM607" s="13"/>
      <c r="BN607" s="13"/>
      <c r="BO607" s="13"/>
      <c r="BP607" s="18"/>
    </row>
    <row r="608">
      <c r="L608" s="16"/>
      <c r="M608" s="17"/>
      <c r="BG608" s="10"/>
      <c r="BH608" s="13"/>
      <c r="BI608" s="13"/>
      <c r="BJ608" s="13"/>
      <c r="BK608" s="13"/>
      <c r="BL608" s="13"/>
      <c r="BM608" s="13"/>
      <c r="BN608" s="13"/>
      <c r="BO608" s="13"/>
      <c r="BP608" s="18"/>
    </row>
    <row r="609">
      <c r="L609" s="16"/>
      <c r="M609" s="17"/>
      <c r="BG609" s="10"/>
      <c r="BH609" s="13"/>
      <c r="BI609" s="13"/>
      <c r="BJ609" s="13"/>
      <c r="BK609" s="13"/>
      <c r="BL609" s="13"/>
      <c r="BM609" s="13"/>
      <c r="BN609" s="13"/>
      <c r="BO609" s="13"/>
      <c r="BP609" s="18"/>
    </row>
    <row r="610">
      <c r="L610" s="16"/>
      <c r="M610" s="17"/>
      <c r="BG610" s="10"/>
      <c r="BH610" s="13"/>
      <c r="BI610" s="13"/>
      <c r="BJ610" s="13"/>
      <c r="BK610" s="13"/>
      <c r="BL610" s="13"/>
      <c r="BM610" s="13"/>
      <c r="BN610" s="13"/>
      <c r="BO610" s="13"/>
      <c r="BP610" s="18"/>
    </row>
    <row r="611">
      <c r="L611" s="16"/>
      <c r="M611" s="17"/>
      <c r="BG611" s="10"/>
      <c r="BH611" s="13"/>
      <c r="BI611" s="13"/>
      <c r="BJ611" s="13"/>
      <c r="BK611" s="13"/>
      <c r="BL611" s="13"/>
      <c r="BM611" s="13"/>
      <c r="BN611" s="13"/>
      <c r="BO611" s="13"/>
      <c r="BP611" s="18"/>
    </row>
    <row r="612">
      <c r="L612" s="16"/>
      <c r="M612" s="17"/>
      <c r="BG612" s="10"/>
      <c r="BH612" s="13"/>
      <c r="BI612" s="13"/>
      <c r="BJ612" s="13"/>
      <c r="BK612" s="13"/>
      <c r="BL612" s="13"/>
      <c r="BM612" s="13"/>
      <c r="BN612" s="13"/>
      <c r="BO612" s="13"/>
      <c r="BP612" s="18"/>
    </row>
    <row r="613">
      <c r="L613" s="16"/>
      <c r="M613" s="17"/>
      <c r="BG613" s="10"/>
      <c r="BH613" s="13"/>
      <c r="BI613" s="13"/>
      <c r="BJ613" s="13"/>
      <c r="BK613" s="13"/>
      <c r="BL613" s="13"/>
      <c r="BM613" s="13"/>
      <c r="BN613" s="13"/>
      <c r="BO613" s="13"/>
      <c r="BP613" s="18"/>
    </row>
    <row r="614">
      <c r="L614" s="16"/>
      <c r="M614" s="17"/>
      <c r="BG614" s="10"/>
      <c r="BH614" s="13"/>
      <c r="BI614" s="13"/>
      <c r="BJ614" s="13"/>
      <c r="BK614" s="13"/>
      <c r="BL614" s="13"/>
      <c r="BM614" s="13"/>
      <c r="BN614" s="13"/>
      <c r="BO614" s="13"/>
      <c r="BP614" s="18"/>
    </row>
    <row r="615">
      <c r="L615" s="16"/>
      <c r="M615" s="17"/>
      <c r="BG615" s="10"/>
      <c r="BH615" s="13"/>
      <c r="BI615" s="13"/>
      <c r="BJ615" s="13"/>
      <c r="BK615" s="13"/>
      <c r="BL615" s="13"/>
      <c r="BM615" s="13"/>
      <c r="BN615" s="13"/>
      <c r="BO615" s="13"/>
      <c r="BP615" s="18"/>
    </row>
    <row r="616">
      <c r="L616" s="16"/>
      <c r="M616" s="17"/>
      <c r="BG616" s="10"/>
      <c r="BH616" s="13"/>
      <c r="BI616" s="13"/>
      <c r="BJ616" s="13"/>
      <c r="BK616" s="13"/>
      <c r="BL616" s="13"/>
      <c r="BM616" s="13"/>
      <c r="BN616" s="13"/>
      <c r="BO616" s="13"/>
      <c r="BP616" s="18"/>
    </row>
    <row r="617">
      <c r="L617" s="16"/>
      <c r="M617" s="17"/>
      <c r="BG617" s="10"/>
      <c r="BH617" s="13"/>
      <c r="BI617" s="13"/>
      <c r="BJ617" s="13"/>
      <c r="BK617" s="13"/>
      <c r="BL617" s="13"/>
      <c r="BM617" s="13"/>
      <c r="BN617" s="13"/>
      <c r="BO617" s="13"/>
      <c r="BP617" s="18"/>
    </row>
    <row r="618">
      <c r="L618" s="16"/>
      <c r="M618" s="17"/>
      <c r="BG618" s="10"/>
      <c r="BH618" s="13"/>
      <c r="BI618" s="13"/>
      <c r="BJ618" s="13"/>
      <c r="BK618" s="13"/>
      <c r="BL618" s="13"/>
      <c r="BM618" s="13"/>
      <c r="BN618" s="13"/>
      <c r="BO618" s="13"/>
      <c r="BP618" s="18"/>
    </row>
    <row r="619">
      <c r="L619" s="16"/>
      <c r="M619" s="17"/>
      <c r="BG619" s="10"/>
      <c r="BH619" s="13"/>
      <c r="BI619" s="13"/>
      <c r="BJ619" s="13"/>
      <c r="BK619" s="13"/>
      <c r="BL619" s="13"/>
      <c r="BM619" s="13"/>
      <c r="BN619" s="13"/>
      <c r="BO619" s="13"/>
      <c r="BP619" s="18"/>
    </row>
    <row r="620">
      <c r="L620" s="16"/>
      <c r="M620" s="17"/>
      <c r="BG620" s="10"/>
      <c r="BH620" s="13"/>
      <c r="BI620" s="13"/>
      <c r="BJ620" s="13"/>
      <c r="BK620" s="13"/>
      <c r="BL620" s="13"/>
      <c r="BM620" s="13"/>
      <c r="BN620" s="13"/>
      <c r="BO620" s="13"/>
      <c r="BP620" s="18"/>
    </row>
    <row r="621">
      <c r="L621" s="16"/>
      <c r="M621" s="17"/>
      <c r="BG621" s="10"/>
      <c r="BH621" s="13"/>
      <c r="BI621" s="13"/>
      <c r="BJ621" s="13"/>
      <c r="BK621" s="13"/>
      <c r="BL621" s="13"/>
      <c r="BM621" s="13"/>
      <c r="BN621" s="13"/>
      <c r="BO621" s="13"/>
      <c r="BP621" s="18"/>
    </row>
    <row r="622">
      <c r="L622" s="16"/>
      <c r="M622" s="17"/>
      <c r="BG622" s="10"/>
      <c r="BH622" s="13"/>
      <c r="BI622" s="13"/>
      <c r="BJ622" s="13"/>
      <c r="BK622" s="13"/>
      <c r="BL622" s="13"/>
      <c r="BM622" s="13"/>
      <c r="BN622" s="13"/>
      <c r="BO622" s="13"/>
      <c r="BP622" s="18"/>
    </row>
    <row r="623">
      <c r="L623" s="16"/>
      <c r="M623" s="17"/>
      <c r="BG623" s="10"/>
      <c r="BH623" s="13"/>
      <c r="BI623" s="13"/>
      <c r="BJ623" s="13"/>
      <c r="BK623" s="13"/>
      <c r="BL623" s="13"/>
      <c r="BM623" s="13"/>
      <c r="BN623" s="13"/>
      <c r="BO623" s="13"/>
      <c r="BP623" s="18"/>
    </row>
    <row r="624">
      <c r="L624" s="16"/>
      <c r="M624" s="17"/>
      <c r="BG624" s="10"/>
      <c r="BH624" s="13"/>
      <c r="BI624" s="13"/>
      <c r="BJ624" s="13"/>
      <c r="BK624" s="13"/>
      <c r="BL624" s="13"/>
      <c r="BM624" s="13"/>
      <c r="BN624" s="13"/>
      <c r="BO624" s="13"/>
      <c r="BP624" s="18"/>
    </row>
    <row r="625">
      <c r="L625" s="16"/>
      <c r="M625" s="17"/>
      <c r="BG625" s="10"/>
      <c r="BH625" s="13"/>
      <c r="BI625" s="13"/>
      <c r="BJ625" s="13"/>
      <c r="BK625" s="13"/>
      <c r="BL625" s="13"/>
      <c r="BM625" s="13"/>
      <c r="BN625" s="13"/>
      <c r="BO625" s="13"/>
      <c r="BP625" s="18"/>
    </row>
    <row r="626">
      <c r="L626" s="16"/>
      <c r="M626" s="17"/>
      <c r="BG626" s="10"/>
      <c r="BH626" s="13"/>
      <c r="BI626" s="13"/>
      <c r="BJ626" s="13"/>
      <c r="BK626" s="13"/>
      <c r="BL626" s="13"/>
      <c r="BM626" s="13"/>
      <c r="BN626" s="13"/>
      <c r="BO626" s="13"/>
      <c r="BP626" s="18"/>
    </row>
    <row r="627">
      <c r="L627" s="16"/>
      <c r="M627" s="17"/>
      <c r="BG627" s="10"/>
      <c r="BH627" s="13"/>
      <c r="BI627" s="13"/>
      <c r="BJ627" s="13"/>
      <c r="BK627" s="13"/>
      <c r="BL627" s="13"/>
      <c r="BM627" s="13"/>
      <c r="BN627" s="13"/>
      <c r="BO627" s="13"/>
      <c r="BP627" s="18"/>
    </row>
    <row r="628">
      <c r="L628" s="16"/>
      <c r="M628" s="17"/>
      <c r="BG628" s="10"/>
      <c r="BH628" s="13"/>
      <c r="BI628" s="13"/>
      <c r="BJ628" s="13"/>
      <c r="BK628" s="13"/>
      <c r="BL628" s="13"/>
      <c r="BM628" s="13"/>
      <c r="BN628" s="13"/>
      <c r="BO628" s="13"/>
      <c r="BP628" s="18"/>
    </row>
    <row r="629">
      <c r="L629" s="16"/>
      <c r="M629" s="17"/>
      <c r="BG629" s="10"/>
      <c r="BH629" s="13"/>
      <c r="BI629" s="13"/>
      <c r="BJ629" s="13"/>
      <c r="BK629" s="13"/>
      <c r="BL629" s="13"/>
      <c r="BM629" s="13"/>
      <c r="BN629" s="13"/>
      <c r="BO629" s="13"/>
      <c r="BP629" s="18"/>
    </row>
    <row r="630">
      <c r="L630" s="16"/>
      <c r="M630" s="17"/>
      <c r="BG630" s="10"/>
      <c r="BH630" s="13"/>
      <c r="BI630" s="13"/>
      <c r="BJ630" s="13"/>
      <c r="BK630" s="13"/>
      <c r="BL630" s="13"/>
      <c r="BM630" s="13"/>
      <c r="BN630" s="13"/>
      <c r="BO630" s="13"/>
      <c r="BP630" s="18"/>
    </row>
    <row r="631">
      <c r="L631" s="16"/>
      <c r="M631" s="17"/>
      <c r="BG631" s="10"/>
      <c r="BH631" s="13"/>
      <c r="BI631" s="13"/>
      <c r="BJ631" s="13"/>
      <c r="BK631" s="13"/>
      <c r="BL631" s="13"/>
      <c r="BM631" s="13"/>
      <c r="BN631" s="13"/>
      <c r="BO631" s="13"/>
      <c r="BP631" s="18"/>
    </row>
    <row r="632">
      <c r="L632" s="16"/>
      <c r="M632" s="17"/>
      <c r="BG632" s="10"/>
      <c r="BH632" s="13"/>
      <c r="BI632" s="13"/>
      <c r="BJ632" s="13"/>
      <c r="BK632" s="13"/>
      <c r="BL632" s="13"/>
      <c r="BM632" s="13"/>
      <c r="BN632" s="13"/>
      <c r="BO632" s="13"/>
      <c r="BP632" s="18"/>
    </row>
    <row r="633">
      <c r="L633" s="16"/>
      <c r="M633" s="17"/>
      <c r="BG633" s="10"/>
      <c r="BH633" s="13"/>
      <c r="BI633" s="13"/>
      <c r="BJ633" s="13"/>
      <c r="BK633" s="13"/>
      <c r="BL633" s="13"/>
      <c r="BM633" s="13"/>
      <c r="BN633" s="13"/>
      <c r="BO633" s="13"/>
      <c r="BP633" s="18"/>
    </row>
    <row r="634">
      <c r="L634" s="16"/>
      <c r="M634" s="17"/>
      <c r="BG634" s="10"/>
      <c r="BH634" s="13"/>
      <c r="BI634" s="13"/>
      <c r="BJ634" s="13"/>
      <c r="BK634" s="13"/>
      <c r="BL634" s="13"/>
      <c r="BM634" s="13"/>
      <c r="BN634" s="13"/>
      <c r="BO634" s="13"/>
      <c r="BP634" s="18"/>
    </row>
    <row r="635">
      <c r="L635" s="16"/>
      <c r="M635" s="17"/>
      <c r="BG635" s="10"/>
      <c r="BH635" s="13"/>
      <c r="BI635" s="13"/>
      <c r="BJ635" s="13"/>
      <c r="BK635" s="13"/>
      <c r="BL635" s="13"/>
      <c r="BM635" s="13"/>
      <c r="BN635" s="13"/>
      <c r="BO635" s="13"/>
      <c r="BP635" s="18"/>
    </row>
    <row r="636">
      <c r="L636" s="16"/>
      <c r="M636" s="17"/>
      <c r="BG636" s="10"/>
      <c r="BH636" s="13"/>
      <c r="BI636" s="13"/>
      <c r="BJ636" s="13"/>
      <c r="BK636" s="13"/>
      <c r="BL636" s="13"/>
      <c r="BM636" s="13"/>
      <c r="BN636" s="13"/>
      <c r="BO636" s="13"/>
      <c r="BP636" s="18"/>
    </row>
    <row r="637">
      <c r="L637" s="16"/>
      <c r="M637" s="17"/>
      <c r="BG637" s="10"/>
      <c r="BH637" s="13"/>
      <c r="BI637" s="13"/>
      <c r="BJ637" s="13"/>
      <c r="BK637" s="13"/>
      <c r="BL637" s="13"/>
      <c r="BM637" s="13"/>
      <c r="BN637" s="13"/>
      <c r="BO637" s="13"/>
      <c r="BP637" s="18"/>
    </row>
    <row r="638">
      <c r="L638" s="16"/>
      <c r="M638" s="17"/>
      <c r="BG638" s="10"/>
      <c r="BH638" s="13"/>
      <c r="BI638" s="13"/>
      <c r="BJ638" s="13"/>
      <c r="BK638" s="13"/>
      <c r="BL638" s="13"/>
      <c r="BM638" s="13"/>
      <c r="BN638" s="13"/>
      <c r="BO638" s="13"/>
      <c r="BP638" s="18"/>
    </row>
    <row r="639">
      <c r="L639" s="16"/>
      <c r="M639" s="17"/>
      <c r="BG639" s="10"/>
      <c r="BH639" s="13"/>
      <c r="BI639" s="13"/>
      <c r="BJ639" s="13"/>
      <c r="BK639" s="13"/>
      <c r="BL639" s="13"/>
      <c r="BM639" s="13"/>
      <c r="BN639" s="13"/>
      <c r="BO639" s="13"/>
      <c r="BP639" s="18"/>
    </row>
    <row r="640">
      <c r="L640" s="16"/>
      <c r="M640" s="17"/>
      <c r="BG640" s="10"/>
      <c r="BH640" s="13"/>
      <c r="BI640" s="13"/>
      <c r="BJ640" s="13"/>
      <c r="BK640" s="13"/>
      <c r="BL640" s="13"/>
      <c r="BM640" s="13"/>
      <c r="BN640" s="13"/>
      <c r="BO640" s="13"/>
      <c r="BP640" s="18"/>
    </row>
    <row r="641">
      <c r="L641" s="16"/>
      <c r="M641" s="17"/>
      <c r="BG641" s="10"/>
      <c r="BH641" s="13"/>
      <c r="BI641" s="13"/>
      <c r="BJ641" s="13"/>
      <c r="BK641" s="13"/>
      <c r="BL641" s="13"/>
      <c r="BM641" s="13"/>
      <c r="BN641" s="13"/>
      <c r="BO641" s="13"/>
      <c r="BP641" s="18"/>
    </row>
    <row r="642">
      <c r="L642" s="16"/>
      <c r="M642" s="17"/>
      <c r="BG642" s="10"/>
      <c r="BH642" s="13"/>
      <c r="BI642" s="13"/>
      <c r="BJ642" s="13"/>
      <c r="BK642" s="13"/>
      <c r="BL642" s="13"/>
      <c r="BM642" s="13"/>
      <c r="BN642" s="13"/>
      <c r="BO642" s="13"/>
      <c r="BP642" s="18"/>
    </row>
    <row r="643">
      <c r="L643" s="16"/>
      <c r="M643" s="17"/>
      <c r="BG643" s="10"/>
      <c r="BH643" s="13"/>
      <c r="BI643" s="13"/>
      <c r="BJ643" s="13"/>
      <c r="BK643" s="13"/>
      <c r="BL643" s="13"/>
      <c r="BM643" s="13"/>
      <c r="BN643" s="13"/>
      <c r="BO643" s="13"/>
      <c r="BP643" s="18"/>
    </row>
    <row r="644">
      <c r="L644" s="16"/>
      <c r="M644" s="17"/>
      <c r="BG644" s="10"/>
      <c r="BH644" s="13"/>
      <c r="BI644" s="13"/>
      <c r="BJ644" s="13"/>
      <c r="BK644" s="13"/>
      <c r="BL644" s="13"/>
      <c r="BM644" s="13"/>
      <c r="BN644" s="13"/>
      <c r="BO644" s="13"/>
      <c r="BP644" s="18"/>
    </row>
    <row r="645">
      <c r="L645" s="16"/>
      <c r="M645" s="17"/>
      <c r="BG645" s="10"/>
      <c r="BH645" s="13"/>
      <c r="BI645" s="13"/>
      <c r="BJ645" s="13"/>
      <c r="BK645" s="13"/>
      <c r="BL645" s="13"/>
      <c r="BM645" s="13"/>
      <c r="BN645" s="13"/>
      <c r="BO645" s="13"/>
      <c r="BP645" s="18"/>
    </row>
    <row r="646">
      <c r="L646" s="16"/>
      <c r="M646" s="17"/>
      <c r="BG646" s="10"/>
      <c r="BH646" s="13"/>
      <c r="BI646" s="13"/>
      <c r="BJ646" s="13"/>
      <c r="BK646" s="13"/>
      <c r="BL646" s="13"/>
      <c r="BM646" s="13"/>
      <c r="BN646" s="13"/>
      <c r="BO646" s="13"/>
      <c r="BP646" s="18"/>
    </row>
    <row r="647">
      <c r="L647" s="16"/>
      <c r="M647" s="17"/>
      <c r="BG647" s="10"/>
      <c r="BH647" s="13"/>
      <c r="BI647" s="13"/>
      <c r="BJ647" s="13"/>
      <c r="BK647" s="13"/>
      <c r="BL647" s="13"/>
      <c r="BM647" s="13"/>
      <c r="BN647" s="13"/>
      <c r="BO647" s="13"/>
      <c r="BP647" s="18"/>
    </row>
    <row r="648">
      <c r="L648" s="16"/>
      <c r="M648" s="17"/>
      <c r="BG648" s="10"/>
      <c r="BH648" s="13"/>
      <c r="BI648" s="13"/>
      <c r="BJ648" s="13"/>
      <c r="BK648" s="13"/>
      <c r="BL648" s="13"/>
      <c r="BM648" s="13"/>
      <c r="BN648" s="13"/>
      <c r="BO648" s="13"/>
      <c r="BP648" s="18"/>
    </row>
    <row r="649">
      <c r="L649" s="16"/>
      <c r="M649" s="17"/>
      <c r="BG649" s="10"/>
      <c r="BH649" s="13"/>
      <c r="BI649" s="13"/>
      <c r="BJ649" s="13"/>
      <c r="BK649" s="13"/>
      <c r="BL649" s="13"/>
      <c r="BM649" s="13"/>
      <c r="BN649" s="13"/>
      <c r="BO649" s="13"/>
      <c r="BP649" s="18"/>
    </row>
    <row r="650">
      <c r="L650" s="16"/>
      <c r="M650" s="17"/>
      <c r="BG650" s="10"/>
      <c r="BH650" s="13"/>
      <c r="BI650" s="13"/>
      <c r="BJ650" s="13"/>
      <c r="BK650" s="13"/>
      <c r="BL650" s="13"/>
      <c r="BM650" s="13"/>
      <c r="BN650" s="13"/>
      <c r="BO650" s="13"/>
      <c r="BP650" s="18"/>
    </row>
    <row r="651">
      <c r="L651" s="16"/>
      <c r="M651" s="17"/>
      <c r="BG651" s="10"/>
      <c r="BH651" s="13"/>
      <c r="BI651" s="13"/>
      <c r="BJ651" s="13"/>
      <c r="BK651" s="13"/>
      <c r="BL651" s="13"/>
      <c r="BM651" s="13"/>
      <c r="BN651" s="13"/>
      <c r="BO651" s="13"/>
      <c r="BP651" s="18"/>
    </row>
    <row r="652">
      <c r="L652" s="16"/>
      <c r="M652" s="17"/>
      <c r="BG652" s="10"/>
      <c r="BH652" s="13"/>
      <c r="BI652" s="13"/>
      <c r="BJ652" s="13"/>
      <c r="BK652" s="13"/>
      <c r="BL652" s="13"/>
      <c r="BM652" s="13"/>
      <c r="BN652" s="13"/>
      <c r="BO652" s="13"/>
      <c r="BP652" s="18"/>
    </row>
    <row r="653">
      <c r="L653" s="16"/>
      <c r="M653" s="17"/>
      <c r="BG653" s="10"/>
      <c r="BH653" s="13"/>
      <c r="BI653" s="13"/>
      <c r="BJ653" s="13"/>
      <c r="BK653" s="13"/>
      <c r="BL653" s="13"/>
      <c r="BM653" s="13"/>
      <c r="BN653" s="13"/>
      <c r="BO653" s="13"/>
      <c r="BP653" s="18"/>
    </row>
    <row r="654">
      <c r="L654" s="16"/>
      <c r="M654" s="17"/>
      <c r="BG654" s="10"/>
      <c r="BH654" s="13"/>
      <c r="BI654" s="13"/>
      <c r="BJ654" s="13"/>
      <c r="BK654" s="13"/>
      <c r="BL654" s="13"/>
      <c r="BM654" s="13"/>
      <c r="BN654" s="13"/>
      <c r="BO654" s="13"/>
      <c r="BP654" s="18"/>
    </row>
    <row r="655">
      <c r="L655" s="16"/>
      <c r="M655" s="17"/>
      <c r="BG655" s="10"/>
      <c r="BH655" s="13"/>
      <c r="BI655" s="13"/>
      <c r="BJ655" s="13"/>
      <c r="BK655" s="13"/>
      <c r="BL655" s="13"/>
      <c r="BM655" s="13"/>
      <c r="BN655" s="13"/>
      <c r="BO655" s="13"/>
      <c r="BP655" s="18"/>
    </row>
    <row r="656">
      <c r="L656" s="16"/>
      <c r="M656" s="17"/>
      <c r="BG656" s="10"/>
      <c r="BH656" s="13"/>
      <c r="BI656" s="13"/>
      <c r="BJ656" s="13"/>
      <c r="BK656" s="13"/>
      <c r="BL656" s="13"/>
      <c r="BM656" s="13"/>
      <c r="BN656" s="13"/>
      <c r="BO656" s="13"/>
      <c r="BP656" s="18"/>
    </row>
    <row r="657">
      <c r="L657" s="16"/>
      <c r="M657" s="17"/>
      <c r="BG657" s="10"/>
      <c r="BH657" s="13"/>
      <c r="BI657" s="13"/>
      <c r="BJ657" s="13"/>
      <c r="BK657" s="13"/>
      <c r="BL657" s="13"/>
      <c r="BM657" s="13"/>
      <c r="BN657" s="13"/>
      <c r="BO657" s="13"/>
      <c r="BP657" s="18"/>
    </row>
    <row r="658">
      <c r="L658" s="16"/>
      <c r="M658" s="17"/>
      <c r="BG658" s="10"/>
      <c r="BH658" s="13"/>
      <c r="BI658" s="13"/>
      <c r="BJ658" s="13"/>
      <c r="BK658" s="13"/>
      <c r="BL658" s="13"/>
      <c r="BM658" s="13"/>
      <c r="BN658" s="13"/>
      <c r="BO658" s="13"/>
      <c r="BP658" s="18"/>
    </row>
    <row r="659">
      <c r="L659" s="16"/>
      <c r="M659" s="17"/>
      <c r="BG659" s="10"/>
      <c r="BH659" s="13"/>
      <c r="BI659" s="13"/>
      <c r="BJ659" s="13"/>
      <c r="BK659" s="13"/>
      <c r="BL659" s="13"/>
      <c r="BM659" s="13"/>
      <c r="BN659" s="13"/>
      <c r="BO659" s="13"/>
      <c r="BP659" s="18"/>
    </row>
    <row r="660">
      <c r="L660" s="16"/>
      <c r="M660" s="17"/>
      <c r="BG660" s="10"/>
      <c r="BH660" s="13"/>
      <c r="BI660" s="13"/>
      <c r="BJ660" s="13"/>
      <c r="BK660" s="13"/>
      <c r="BL660" s="13"/>
      <c r="BM660" s="13"/>
      <c r="BN660" s="13"/>
      <c r="BO660" s="13"/>
      <c r="BP660" s="18"/>
    </row>
    <row r="661">
      <c r="L661" s="16"/>
      <c r="M661" s="17"/>
      <c r="BG661" s="10"/>
      <c r="BH661" s="13"/>
      <c r="BI661" s="13"/>
      <c r="BJ661" s="13"/>
      <c r="BK661" s="13"/>
      <c r="BL661" s="13"/>
      <c r="BM661" s="13"/>
      <c r="BN661" s="13"/>
      <c r="BO661" s="13"/>
      <c r="BP661" s="18"/>
    </row>
    <row r="662">
      <c r="L662" s="16"/>
      <c r="M662" s="17"/>
      <c r="BG662" s="10"/>
      <c r="BH662" s="13"/>
      <c r="BI662" s="13"/>
      <c r="BJ662" s="13"/>
      <c r="BK662" s="13"/>
      <c r="BL662" s="13"/>
      <c r="BM662" s="13"/>
      <c r="BN662" s="13"/>
      <c r="BO662" s="13"/>
      <c r="BP662" s="18"/>
    </row>
    <row r="663">
      <c r="L663" s="16"/>
      <c r="M663" s="17"/>
      <c r="BG663" s="10"/>
      <c r="BH663" s="13"/>
      <c r="BI663" s="13"/>
      <c r="BJ663" s="13"/>
      <c r="BK663" s="13"/>
      <c r="BL663" s="13"/>
      <c r="BM663" s="13"/>
      <c r="BN663" s="13"/>
      <c r="BO663" s="13"/>
      <c r="BP663" s="18"/>
    </row>
    <row r="664">
      <c r="L664" s="16"/>
      <c r="M664" s="17"/>
      <c r="BG664" s="10"/>
      <c r="BH664" s="13"/>
      <c r="BI664" s="13"/>
      <c r="BJ664" s="13"/>
      <c r="BK664" s="13"/>
      <c r="BL664" s="13"/>
      <c r="BM664" s="13"/>
      <c r="BN664" s="13"/>
      <c r="BO664" s="13"/>
      <c r="BP664" s="18"/>
    </row>
    <row r="665">
      <c r="L665" s="16"/>
      <c r="M665" s="17"/>
      <c r="BG665" s="10"/>
      <c r="BH665" s="13"/>
      <c r="BI665" s="13"/>
      <c r="BJ665" s="13"/>
      <c r="BK665" s="13"/>
      <c r="BL665" s="13"/>
      <c r="BM665" s="13"/>
      <c r="BN665" s="13"/>
      <c r="BO665" s="13"/>
      <c r="BP665" s="18"/>
    </row>
    <row r="666">
      <c r="L666" s="16"/>
      <c r="M666" s="17"/>
      <c r="BG666" s="10"/>
      <c r="BH666" s="13"/>
      <c r="BI666" s="13"/>
      <c r="BJ666" s="13"/>
      <c r="BK666" s="13"/>
      <c r="BL666" s="13"/>
      <c r="BM666" s="13"/>
      <c r="BN666" s="13"/>
      <c r="BO666" s="13"/>
      <c r="BP666" s="18"/>
    </row>
    <row r="667">
      <c r="L667" s="16"/>
      <c r="M667" s="17"/>
      <c r="BG667" s="10"/>
      <c r="BH667" s="13"/>
      <c r="BI667" s="13"/>
      <c r="BJ667" s="13"/>
      <c r="BK667" s="13"/>
      <c r="BL667" s="13"/>
      <c r="BM667" s="13"/>
      <c r="BN667" s="13"/>
      <c r="BO667" s="13"/>
      <c r="BP667" s="18"/>
    </row>
    <row r="668">
      <c r="L668" s="16"/>
      <c r="M668" s="17"/>
      <c r="BG668" s="10"/>
      <c r="BH668" s="13"/>
      <c r="BI668" s="13"/>
      <c r="BJ668" s="13"/>
      <c r="BK668" s="13"/>
      <c r="BL668" s="13"/>
      <c r="BM668" s="13"/>
      <c r="BN668" s="13"/>
      <c r="BO668" s="13"/>
      <c r="BP668" s="18"/>
    </row>
    <row r="669">
      <c r="L669" s="16"/>
      <c r="M669" s="17"/>
      <c r="BG669" s="10"/>
      <c r="BH669" s="13"/>
      <c r="BI669" s="13"/>
      <c r="BJ669" s="13"/>
      <c r="BK669" s="13"/>
      <c r="BL669" s="13"/>
      <c r="BM669" s="13"/>
      <c r="BN669" s="13"/>
      <c r="BO669" s="13"/>
      <c r="BP669" s="18"/>
    </row>
    <row r="670">
      <c r="L670" s="16"/>
      <c r="M670" s="17"/>
      <c r="BG670" s="10"/>
      <c r="BH670" s="13"/>
      <c r="BI670" s="13"/>
      <c r="BJ670" s="13"/>
      <c r="BK670" s="13"/>
      <c r="BL670" s="13"/>
      <c r="BM670" s="13"/>
      <c r="BN670" s="13"/>
      <c r="BO670" s="13"/>
      <c r="BP670" s="18"/>
    </row>
    <row r="671">
      <c r="L671" s="16"/>
      <c r="M671" s="17"/>
      <c r="BG671" s="10"/>
      <c r="BH671" s="13"/>
      <c r="BI671" s="13"/>
      <c r="BJ671" s="13"/>
      <c r="BK671" s="13"/>
      <c r="BL671" s="13"/>
      <c r="BM671" s="13"/>
      <c r="BN671" s="13"/>
      <c r="BO671" s="13"/>
      <c r="BP671" s="18"/>
    </row>
    <row r="672">
      <c r="L672" s="16"/>
      <c r="M672" s="17"/>
      <c r="BG672" s="10"/>
      <c r="BH672" s="13"/>
      <c r="BI672" s="13"/>
      <c r="BJ672" s="13"/>
      <c r="BK672" s="13"/>
      <c r="BL672" s="13"/>
      <c r="BM672" s="13"/>
      <c r="BN672" s="13"/>
      <c r="BO672" s="13"/>
      <c r="BP672" s="18"/>
    </row>
    <row r="673">
      <c r="L673" s="16"/>
      <c r="M673" s="17"/>
      <c r="BG673" s="10"/>
      <c r="BH673" s="13"/>
      <c r="BI673" s="13"/>
      <c r="BJ673" s="13"/>
      <c r="BK673" s="13"/>
      <c r="BL673" s="13"/>
      <c r="BM673" s="13"/>
      <c r="BN673" s="13"/>
      <c r="BO673" s="13"/>
      <c r="BP673" s="18"/>
    </row>
    <row r="674">
      <c r="L674" s="16"/>
      <c r="M674" s="17"/>
      <c r="BG674" s="10"/>
      <c r="BH674" s="13"/>
      <c r="BI674" s="13"/>
      <c r="BJ674" s="13"/>
      <c r="BK674" s="13"/>
      <c r="BL674" s="13"/>
      <c r="BM674" s="13"/>
      <c r="BN674" s="13"/>
      <c r="BO674" s="13"/>
      <c r="BP674" s="18"/>
    </row>
    <row r="675">
      <c r="L675" s="16"/>
      <c r="M675" s="17"/>
      <c r="BG675" s="10"/>
      <c r="BH675" s="13"/>
      <c r="BI675" s="13"/>
      <c r="BJ675" s="13"/>
      <c r="BK675" s="13"/>
      <c r="BL675" s="13"/>
      <c r="BM675" s="13"/>
      <c r="BN675" s="13"/>
      <c r="BO675" s="13"/>
      <c r="BP675" s="18"/>
    </row>
    <row r="676">
      <c r="L676" s="16"/>
      <c r="M676" s="17"/>
      <c r="BG676" s="10"/>
      <c r="BH676" s="13"/>
      <c r="BI676" s="13"/>
      <c r="BJ676" s="13"/>
      <c r="BK676" s="13"/>
      <c r="BL676" s="13"/>
      <c r="BM676" s="13"/>
      <c r="BN676" s="13"/>
      <c r="BO676" s="13"/>
      <c r="BP676" s="18"/>
    </row>
    <row r="677">
      <c r="L677" s="16"/>
      <c r="M677" s="17"/>
      <c r="BG677" s="10"/>
      <c r="BH677" s="13"/>
      <c r="BI677" s="13"/>
      <c r="BJ677" s="13"/>
      <c r="BK677" s="13"/>
      <c r="BL677" s="13"/>
      <c r="BM677" s="13"/>
      <c r="BN677" s="13"/>
      <c r="BO677" s="13"/>
      <c r="BP677" s="18"/>
    </row>
    <row r="678">
      <c r="L678" s="16"/>
      <c r="M678" s="17"/>
      <c r="BG678" s="10"/>
      <c r="BH678" s="13"/>
      <c r="BI678" s="13"/>
      <c r="BJ678" s="13"/>
      <c r="BK678" s="13"/>
      <c r="BL678" s="13"/>
      <c r="BM678" s="13"/>
      <c r="BN678" s="13"/>
      <c r="BO678" s="13"/>
      <c r="BP678" s="18"/>
    </row>
    <row r="679">
      <c r="L679" s="16"/>
      <c r="M679" s="17"/>
      <c r="BG679" s="10"/>
      <c r="BH679" s="13"/>
      <c r="BI679" s="13"/>
      <c r="BJ679" s="13"/>
      <c r="BK679" s="13"/>
      <c r="BL679" s="13"/>
      <c r="BM679" s="13"/>
      <c r="BN679" s="13"/>
      <c r="BO679" s="13"/>
      <c r="BP679" s="18"/>
    </row>
    <row r="680">
      <c r="L680" s="16"/>
      <c r="M680" s="17"/>
      <c r="BG680" s="10"/>
      <c r="BH680" s="13"/>
      <c r="BI680" s="13"/>
      <c r="BJ680" s="13"/>
      <c r="BK680" s="13"/>
      <c r="BL680" s="13"/>
      <c r="BM680" s="13"/>
      <c r="BN680" s="13"/>
      <c r="BO680" s="13"/>
      <c r="BP680" s="18"/>
    </row>
    <row r="681">
      <c r="L681" s="16"/>
      <c r="M681" s="17"/>
      <c r="BG681" s="10"/>
      <c r="BH681" s="13"/>
      <c r="BI681" s="13"/>
      <c r="BJ681" s="13"/>
      <c r="BK681" s="13"/>
      <c r="BL681" s="13"/>
      <c r="BM681" s="13"/>
      <c r="BN681" s="13"/>
      <c r="BO681" s="13"/>
      <c r="BP681" s="18"/>
    </row>
    <row r="682">
      <c r="L682" s="16"/>
      <c r="M682" s="17"/>
      <c r="BG682" s="10"/>
      <c r="BH682" s="13"/>
      <c r="BI682" s="13"/>
      <c r="BJ682" s="13"/>
      <c r="BK682" s="13"/>
      <c r="BL682" s="13"/>
      <c r="BM682" s="13"/>
      <c r="BN682" s="13"/>
      <c r="BO682" s="13"/>
      <c r="BP682" s="18"/>
    </row>
    <row r="683">
      <c r="L683" s="16"/>
      <c r="M683" s="17"/>
      <c r="BG683" s="10"/>
      <c r="BH683" s="13"/>
      <c r="BI683" s="13"/>
      <c r="BJ683" s="13"/>
      <c r="BK683" s="13"/>
      <c r="BL683" s="13"/>
      <c r="BM683" s="13"/>
      <c r="BN683" s="13"/>
      <c r="BO683" s="13"/>
      <c r="BP683" s="18"/>
    </row>
    <row r="684">
      <c r="L684" s="16"/>
      <c r="M684" s="17"/>
      <c r="BG684" s="10"/>
      <c r="BH684" s="13"/>
      <c r="BI684" s="13"/>
      <c r="BJ684" s="13"/>
      <c r="BK684" s="13"/>
      <c r="BL684" s="13"/>
      <c r="BM684" s="13"/>
      <c r="BN684" s="13"/>
      <c r="BO684" s="13"/>
      <c r="BP684" s="18"/>
    </row>
    <row r="685">
      <c r="L685" s="16"/>
      <c r="M685" s="17"/>
      <c r="BG685" s="10"/>
      <c r="BH685" s="13"/>
      <c r="BI685" s="13"/>
      <c r="BJ685" s="13"/>
      <c r="BK685" s="13"/>
      <c r="BL685" s="13"/>
      <c r="BM685" s="13"/>
      <c r="BN685" s="13"/>
      <c r="BO685" s="13"/>
      <c r="BP685" s="18"/>
    </row>
    <row r="686">
      <c r="L686" s="16"/>
      <c r="M686" s="17"/>
      <c r="BG686" s="10"/>
      <c r="BH686" s="13"/>
      <c r="BI686" s="13"/>
      <c r="BJ686" s="13"/>
      <c r="BK686" s="13"/>
      <c r="BL686" s="13"/>
      <c r="BM686" s="13"/>
      <c r="BN686" s="13"/>
      <c r="BO686" s="13"/>
      <c r="BP686" s="18"/>
    </row>
    <row r="687">
      <c r="L687" s="16"/>
      <c r="M687" s="17"/>
      <c r="BG687" s="10"/>
      <c r="BH687" s="13"/>
      <c r="BI687" s="13"/>
      <c r="BJ687" s="13"/>
      <c r="BK687" s="13"/>
      <c r="BL687" s="13"/>
      <c r="BM687" s="13"/>
      <c r="BN687" s="13"/>
      <c r="BO687" s="13"/>
      <c r="BP687" s="18"/>
    </row>
    <row r="688">
      <c r="L688" s="16"/>
      <c r="M688" s="17"/>
      <c r="BG688" s="10"/>
      <c r="BH688" s="13"/>
      <c r="BI688" s="13"/>
      <c r="BJ688" s="13"/>
      <c r="BK688" s="13"/>
      <c r="BL688" s="13"/>
      <c r="BM688" s="13"/>
      <c r="BN688" s="13"/>
      <c r="BO688" s="13"/>
      <c r="BP688" s="18"/>
    </row>
    <row r="689">
      <c r="L689" s="16"/>
      <c r="M689" s="17"/>
      <c r="BG689" s="10"/>
      <c r="BH689" s="13"/>
      <c r="BI689" s="13"/>
      <c r="BJ689" s="13"/>
      <c r="BK689" s="13"/>
      <c r="BL689" s="13"/>
      <c r="BM689" s="13"/>
      <c r="BN689" s="13"/>
      <c r="BO689" s="13"/>
      <c r="BP689" s="18"/>
    </row>
    <row r="690">
      <c r="L690" s="16"/>
      <c r="M690" s="17"/>
      <c r="BG690" s="10"/>
      <c r="BH690" s="13"/>
      <c r="BI690" s="13"/>
      <c r="BJ690" s="13"/>
      <c r="BK690" s="13"/>
      <c r="BL690" s="13"/>
      <c r="BM690" s="13"/>
      <c r="BN690" s="13"/>
      <c r="BO690" s="13"/>
      <c r="BP690" s="18"/>
    </row>
    <row r="691">
      <c r="L691" s="16"/>
      <c r="M691" s="17"/>
      <c r="BG691" s="10"/>
      <c r="BH691" s="13"/>
      <c r="BI691" s="13"/>
      <c r="BJ691" s="13"/>
      <c r="BK691" s="13"/>
      <c r="BL691" s="13"/>
      <c r="BM691" s="13"/>
      <c r="BN691" s="13"/>
      <c r="BO691" s="13"/>
      <c r="BP691" s="18"/>
    </row>
    <row r="692">
      <c r="L692" s="16"/>
      <c r="M692" s="17"/>
      <c r="BG692" s="10"/>
      <c r="BH692" s="13"/>
      <c r="BI692" s="13"/>
      <c r="BJ692" s="13"/>
      <c r="BK692" s="13"/>
      <c r="BL692" s="13"/>
      <c r="BM692" s="13"/>
      <c r="BN692" s="13"/>
      <c r="BO692" s="13"/>
      <c r="BP692" s="18"/>
    </row>
    <row r="693">
      <c r="L693" s="16"/>
      <c r="M693" s="17"/>
      <c r="BG693" s="10"/>
      <c r="BH693" s="13"/>
      <c r="BI693" s="13"/>
      <c r="BJ693" s="13"/>
      <c r="BK693" s="13"/>
      <c r="BL693" s="13"/>
      <c r="BM693" s="13"/>
      <c r="BN693" s="13"/>
      <c r="BO693" s="13"/>
      <c r="BP693" s="18"/>
    </row>
    <row r="694">
      <c r="L694" s="16"/>
      <c r="M694" s="17"/>
      <c r="BG694" s="10"/>
      <c r="BH694" s="13"/>
      <c r="BI694" s="13"/>
      <c r="BJ694" s="13"/>
      <c r="BK694" s="13"/>
      <c r="BL694" s="13"/>
      <c r="BM694" s="13"/>
      <c r="BN694" s="13"/>
      <c r="BO694" s="13"/>
      <c r="BP694" s="18"/>
    </row>
    <row r="695">
      <c r="L695" s="16"/>
      <c r="M695" s="17"/>
      <c r="BG695" s="10"/>
      <c r="BH695" s="13"/>
      <c r="BI695" s="13"/>
      <c r="BJ695" s="13"/>
      <c r="BK695" s="13"/>
      <c r="BL695" s="13"/>
      <c r="BM695" s="13"/>
      <c r="BN695" s="13"/>
      <c r="BO695" s="13"/>
      <c r="BP695" s="18"/>
    </row>
    <row r="696">
      <c r="L696" s="16"/>
      <c r="M696" s="17"/>
      <c r="BG696" s="10"/>
      <c r="BH696" s="13"/>
      <c r="BI696" s="13"/>
      <c r="BJ696" s="13"/>
      <c r="BK696" s="13"/>
      <c r="BL696" s="13"/>
      <c r="BM696" s="13"/>
      <c r="BN696" s="13"/>
      <c r="BO696" s="13"/>
      <c r="BP696" s="18"/>
    </row>
    <row r="697">
      <c r="L697" s="16"/>
      <c r="M697" s="17"/>
      <c r="BG697" s="10"/>
      <c r="BH697" s="13"/>
      <c r="BI697" s="13"/>
      <c r="BJ697" s="13"/>
      <c r="BK697" s="13"/>
      <c r="BL697" s="13"/>
      <c r="BM697" s="13"/>
      <c r="BN697" s="13"/>
      <c r="BO697" s="13"/>
      <c r="BP697" s="18"/>
    </row>
    <row r="698">
      <c r="L698" s="16"/>
      <c r="M698" s="17"/>
      <c r="BG698" s="10"/>
      <c r="BH698" s="13"/>
      <c r="BI698" s="13"/>
      <c r="BJ698" s="13"/>
      <c r="BK698" s="13"/>
      <c r="BL698" s="13"/>
      <c r="BM698" s="13"/>
      <c r="BN698" s="13"/>
      <c r="BO698" s="13"/>
      <c r="BP698" s="18"/>
    </row>
    <row r="699">
      <c r="L699" s="16"/>
      <c r="M699" s="17"/>
      <c r="BG699" s="10"/>
      <c r="BH699" s="13"/>
      <c r="BI699" s="13"/>
      <c r="BJ699" s="13"/>
      <c r="BK699" s="13"/>
      <c r="BL699" s="13"/>
      <c r="BM699" s="13"/>
      <c r="BN699" s="13"/>
      <c r="BO699" s="13"/>
      <c r="BP699" s="18"/>
    </row>
    <row r="700">
      <c r="L700" s="16"/>
      <c r="M700" s="17"/>
      <c r="BG700" s="10"/>
      <c r="BH700" s="13"/>
      <c r="BI700" s="13"/>
      <c r="BJ700" s="13"/>
      <c r="BK700" s="13"/>
      <c r="BL700" s="13"/>
      <c r="BM700" s="13"/>
      <c r="BN700" s="13"/>
      <c r="BO700" s="13"/>
      <c r="BP700" s="18"/>
    </row>
    <row r="701">
      <c r="L701" s="16"/>
      <c r="M701" s="17"/>
      <c r="BG701" s="10"/>
      <c r="BH701" s="13"/>
      <c r="BI701" s="13"/>
      <c r="BJ701" s="13"/>
      <c r="BK701" s="13"/>
      <c r="BL701" s="13"/>
      <c r="BM701" s="13"/>
      <c r="BN701" s="13"/>
      <c r="BO701" s="13"/>
      <c r="BP701" s="18"/>
    </row>
    <row r="702">
      <c r="L702" s="16"/>
      <c r="M702" s="17"/>
      <c r="BG702" s="10"/>
      <c r="BH702" s="13"/>
      <c r="BI702" s="13"/>
      <c r="BJ702" s="13"/>
      <c r="BK702" s="13"/>
      <c r="BL702" s="13"/>
      <c r="BM702" s="13"/>
      <c r="BN702" s="13"/>
      <c r="BO702" s="13"/>
      <c r="BP702" s="18"/>
    </row>
    <row r="703">
      <c r="L703" s="16"/>
      <c r="M703" s="17"/>
      <c r="BG703" s="10"/>
      <c r="BH703" s="13"/>
      <c r="BI703" s="13"/>
      <c r="BJ703" s="13"/>
      <c r="BK703" s="13"/>
      <c r="BL703" s="13"/>
      <c r="BM703" s="13"/>
      <c r="BN703" s="13"/>
      <c r="BO703" s="13"/>
      <c r="BP703" s="18"/>
    </row>
    <row r="704">
      <c r="L704" s="16"/>
      <c r="M704" s="17"/>
      <c r="BG704" s="10"/>
      <c r="BH704" s="13"/>
      <c r="BI704" s="13"/>
      <c r="BJ704" s="13"/>
      <c r="BK704" s="13"/>
      <c r="BL704" s="13"/>
      <c r="BM704" s="13"/>
      <c r="BN704" s="13"/>
      <c r="BO704" s="13"/>
      <c r="BP704" s="18"/>
    </row>
    <row r="705">
      <c r="L705" s="16"/>
      <c r="M705" s="17"/>
      <c r="BG705" s="10"/>
      <c r="BH705" s="13"/>
      <c r="BI705" s="13"/>
      <c r="BJ705" s="13"/>
      <c r="BK705" s="13"/>
      <c r="BL705" s="13"/>
      <c r="BM705" s="13"/>
      <c r="BN705" s="13"/>
      <c r="BO705" s="13"/>
      <c r="BP705" s="18"/>
    </row>
    <row r="706">
      <c r="L706" s="16"/>
      <c r="M706" s="17"/>
      <c r="BG706" s="10"/>
      <c r="BH706" s="13"/>
      <c r="BI706" s="13"/>
      <c r="BJ706" s="13"/>
      <c r="BK706" s="13"/>
      <c r="BL706" s="13"/>
      <c r="BM706" s="13"/>
      <c r="BN706" s="13"/>
      <c r="BO706" s="13"/>
      <c r="BP706" s="18"/>
    </row>
    <row r="707">
      <c r="L707" s="16"/>
      <c r="M707" s="17"/>
      <c r="BG707" s="10"/>
      <c r="BH707" s="13"/>
      <c r="BI707" s="13"/>
      <c r="BJ707" s="13"/>
      <c r="BK707" s="13"/>
      <c r="BL707" s="13"/>
      <c r="BM707" s="13"/>
      <c r="BN707" s="13"/>
      <c r="BO707" s="13"/>
      <c r="BP707" s="18"/>
    </row>
    <row r="708">
      <c r="L708" s="16"/>
      <c r="M708" s="17"/>
      <c r="BG708" s="10"/>
      <c r="BH708" s="13"/>
      <c r="BI708" s="13"/>
      <c r="BJ708" s="13"/>
      <c r="BK708" s="13"/>
      <c r="BL708" s="13"/>
      <c r="BM708" s="13"/>
      <c r="BN708" s="13"/>
      <c r="BO708" s="13"/>
      <c r="BP708" s="18"/>
    </row>
    <row r="709">
      <c r="L709" s="16"/>
      <c r="M709" s="17"/>
      <c r="BG709" s="10"/>
      <c r="BH709" s="13"/>
      <c r="BI709" s="13"/>
      <c r="BJ709" s="13"/>
      <c r="BK709" s="13"/>
      <c r="BL709" s="13"/>
      <c r="BM709" s="13"/>
      <c r="BN709" s="13"/>
      <c r="BO709" s="13"/>
      <c r="BP709" s="18"/>
    </row>
    <row r="710">
      <c r="L710" s="16"/>
      <c r="M710" s="17"/>
      <c r="BG710" s="10"/>
      <c r="BH710" s="13"/>
      <c r="BI710" s="13"/>
      <c r="BJ710" s="13"/>
      <c r="BK710" s="13"/>
      <c r="BL710" s="13"/>
      <c r="BM710" s="13"/>
      <c r="BN710" s="13"/>
      <c r="BO710" s="13"/>
      <c r="BP710" s="18"/>
    </row>
    <row r="711">
      <c r="L711" s="16"/>
      <c r="M711" s="17"/>
      <c r="BG711" s="10"/>
      <c r="BH711" s="13"/>
      <c r="BI711" s="13"/>
      <c r="BJ711" s="13"/>
      <c r="BK711" s="13"/>
      <c r="BL711" s="13"/>
      <c r="BM711" s="13"/>
      <c r="BN711" s="13"/>
      <c r="BO711" s="13"/>
      <c r="BP711" s="18"/>
    </row>
    <row r="712">
      <c r="L712" s="16"/>
      <c r="M712" s="17"/>
      <c r="BG712" s="10"/>
      <c r="BH712" s="13"/>
      <c r="BI712" s="13"/>
      <c r="BJ712" s="13"/>
      <c r="BK712" s="13"/>
      <c r="BL712" s="13"/>
      <c r="BM712" s="13"/>
      <c r="BN712" s="13"/>
      <c r="BO712" s="13"/>
      <c r="BP712" s="18"/>
    </row>
    <row r="713">
      <c r="L713" s="16"/>
      <c r="M713" s="17"/>
      <c r="BG713" s="10"/>
      <c r="BH713" s="13"/>
      <c r="BI713" s="13"/>
      <c r="BJ713" s="13"/>
      <c r="BK713" s="13"/>
      <c r="BL713" s="13"/>
      <c r="BM713" s="13"/>
      <c r="BN713" s="13"/>
      <c r="BO713" s="13"/>
      <c r="BP713" s="18"/>
    </row>
    <row r="714">
      <c r="L714" s="16"/>
      <c r="M714" s="17"/>
      <c r="BG714" s="10"/>
      <c r="BH714" s="13"/>
      <c r="BI714" s="13"/>
      <c r="BJ714" s="13"/>
      <c r="BK714" s="13"/>
      <c r="BL714" s="13"/>
      <c r="BM714" s="13"/>
      <c r="BN714" s="13"/>
      <c r="BO714" s="13"/>
      <c r="BP714" s="18"/>
    </row>
    <row r="715">
      <c r="L715" s="16"/>
      <c r="M715" s="17"/>
      <c r="BG715" s="10"/>
      <c r="BH715" s="13"/>
      <c r="BI715" s="13"/>
      <c r="BJ715" s="13"/>
      <c r="BK715" s="13"/>
      <c r="BL715" s="13"/>
      <c r="BM715" s="13"/>
      <c r="BN715" s="13"/>
      <c r="BO715" s="13"/>
      <c r="BP715" s="18"/>
    </row>
    <row r="716">
      <c r="L716" s="16"/>
      <c r="M716" s="17"/>
      <c r="BG716" s="10"/>
      <c r="BH716" s="13"/>
      <c r="BI716" s="13"/>
      <c r="BJ716" s="13"/>
      <c r="BK716" s="13"/>
      <c r="BL716" s="13"/>
      <c r="BM716" s="13"/>
      <c r="BN716" s="13"/>
      <c r="BO716" s="13"/>
      <c r="BP716" s="18"/>
    </row>
    <row r="717">
      <c r="L717" s="16"/>
      <c r="M717" s="17"/>
      <c r="BG717" s="10"/>
      <c r="BH717" s="13"/>
      <c r="BI717" s="13"/>
      <c r="BJ717" s="13"/>
      <c r="BK717" s="13"/>
      <c r="BL717" s="13"/>
      <c r="BM717" s="13"/>
      <c r="BN717" s="13"/>
      <c r="BO717" s="13"/>
      <c r="BP717" s="18"/>
    </row>
    <row r="718">
      <c r="L718" s="16"/>
      <c r="M718" s="17"/>
      <c r="BG718" s="10"/>
      <c r="BH718" s="13"/>
      <c r="BI718" s="13"/>
      <c r="BJ718" s="13"/>
      <c r="BK718" s="13"/>
      <c r="BL718" s="13"/>
      <c r="BM718" s="13"/>
      <c r="BN718" s="13"/>
      <c r="BO718" s="13"/>
      <c r="BP718" s="18"/>
    </row>
    <row r="719">
      <c r="L719" s="16"/>
      <c r="M719" s="17"/>
      <c r="BG719" s="10"/>
      <c r="BH719" s="13"/>
      <c r="BI719" s="13"/>
      <c r="BJ719" s="13"/>
      <c r="BK719" s="13"/>
      <c r="BL719" s="13"/>
      <c r="BM719" s="13"/>
      <c r="BN719" s="13"/>
      <c r="BO719" s="13"/>
      <c r="BP719" s="18"/>
    </row>
    <row r="720">
      <c r="L720" s="16"/>
      <c r="M720" s="17"/>
      <c r="BG720" s="10"/>
      <c r="BH720" s="13"/>
      <c r="BI720" s="13"/>
      <c r="BJ720" s="13"/>
      <c r="BK720" s="13"/>
      <c r="BL720" s="13"/>
      <c r="BM720" s="13"/>
      <c r="BN720" s="13"/>
      <c r="BO720" s="13"/>
      <c r="BP720" s="18"/>
    </row>
    <row r="721">
      <c r="L721" s="16"/>
      <c r="M721" s="17"/>
      <c r="BG721" s="10"/>
      <c r="BH721" s="13"/>
      <c r="BI721" s="13"/>
      <c r="BJ721" s="13"/>
      <c r="BK721" s="13"/>
      <c r="BL721" s="13"/>
      <c r="BM721" s="13"/>
      <c r="BN721" s="13"/>
      <c r="BO721" s="13"/>
      <c r="BP721" s="18"/>
    </row>
    <row r="722">
      <c r="L722" s="16"/>
      <c r="M722" s="17"/>
      <c r="BG722" s="10"/>
      <c r="BH722" s="13"/>
      <c r="BI722" s="13"/>
      <c r="BJ722" s="13"/>
      <c r="BK722" s="13"/>
      <c r="BL722" s="13"/>
      <c r="BM722" s="13"/>
      <c r="BN722" s="13"/>
      <c r="BO722" s="13"/>
      <c r="BP722" s="18"/>
    </row>
    <row r="723">
      <c r="L723" s="16"/>
      <c r="M723" s="17"/>
      <c r="BG723" s="10"/>
      <c r="BH723" s="13"/>
      <c r="BI723" s="13"/>
      <c r="BJ723" s="13"/>
      <c r="BK723" s="13"/>
      <c r="BL723" s="13"/>
      <c r="BM723" s="13"/>
      <c r="BN723" s="13"/>
      <c r="BO723" s="13"/>
      <c r="BP723" s="18"/>
    </row>
    <row r="724">
      <c r="L724" s="16"/>
      <c r="M724" s="17"/>
      <c r="BG724" s="10"/>
      <c r="BH724" s="13"/>
      <c r="BI724" s="13"/>
      <c r="BJ724" s="13"/>
      <c r="BK724" s="13"/>
      <c r="BL724" s="13"/>
      <c r="BM724" s="13"/>
      <c r="BN724" s="13"/>
      <c r="BO724" s="13"/>
      <c r="BP724" s="18"/>
    </row>
    <row r="725">
      <c r="L725" s="16"/>
      <c r="M725" s="17"/>
      <c r="BG725" s="10"/>
      <c r="BH725" s="13"/>
      <c r="BI725" s="13"/>
      <c r="BJ725" s="13"/>
      <c r="BK725" s="13"/>
      <c r="BL725" s="13"/>
      <c r="BM725" s="13"/>
      <c r="BN725" s="13"/>
      <c r="BO725" s="13"/>
      <c r="BP725" s="18"/>
    </row>
    <row r="726">
      <c r="L726" s="16"/>
      <c r="M726" s="17"/>
      <c r="BG726" s="10"/>
      <c r="BH726" s="13"/>
      <c r="BI726" s="13"/>
      <c r="BJ726" s="13"/>
      <c r="BK726" s="13"/>
      <c r="BL726" s="13"/>
      <c r="BM726" s="13"/>
      <c r="BN726" s="13"/>
      <c r="BO726" s="13"/>
      <c r="BP726" s="18"/>
    </row>
    <row r="727">
      <c r="L727" s="16"/>
      <c r="M727" s="17"/>
      <c r="BG727" s="10"/>
      <c r="BH727" s="13"/>
      <c r="BI727" s="13"/>
      <c r="BJ727" s="13"/>
      <c r="BK727" s="13"/>
      <c r="BL727" s="13"/>
      <c r="BM727" s="13"/>
      <c r="BN727" s="13"/>
      <c r="BO727" s="13"/>
      <c r="BP727" s="18"/>
    </row>
    <row r="728">
      <c r="L728" s="16"/>
      <c r="M728" s="17"/>
      <c r="BG728" s="10"/>
      <c r="BH728" s="13"/>
      <c r="BI728" s="13"/>
      <c r="BJ728" s="13"/>
      <c r="BK728" s="13"/>
      <c r="BL728" s="13"/>
      <c r="BM728" s="13"/>
      <c r="BN728" s="13"/>
      <c r="BO728" s="13"/>
      <c r="BP728" s="18"/>
    </row>
    <row r="729">
      <c r="L729" s="16"/>
      <c r="M729" s="17"/>
      <c r="BG729" s="10"/>
      <c r="BH729" s="13"/>
      <c r="BI729" s="13"/>
      <c r="BJ729" s="13"/>
      <c r="BK729" s="13"/>
      <c r="BL729" s="13"/>
      <c r="BM729" s="13"/>
      <c r="BN729" s="13"/>
      <c r="BO729" s="13"/>
      <c r="BP729" s="18"/>
    </row>
    <row r="730">
      <c r="L730" s="16"/>
      <c r="M730" s="17"/>
      <c r="BG730" s="10"/>
      <c r="BH730" s="13"/>
      <c r="BI730" s="13"/>
      <c r="BJ730" s="13"/>
      <c r="BK730" s="13"/>
      <c r="BL730" s="13"/>
      <c r="BM730" s="13"/>
      <c r="BN730" s="13"/>
      <c r="BO730" s="13"/>
      <c r="BP730" s="18"/>
    </row>
    <row r="731">
      <c r="L731" s="16"/>
      <c r="M731" s="17"/>
      <c r="BG731" s="10"/>
      <c r="BH731" s="13"/>
      <c r="BI731" s="13"/>
      <c r="BJ731" s="13"/>
      <c r="BK731" s="13"/>
      <c r="BL731" s="13"/>
      <c r="BM731" s="13"/>
      <c r="BN731" s="13"/>
      <c r="BO731" s="13"/>
      <c r="BP731" s="18"/>
    </row>
    <row r="732">
      <c r="L732" s="16"/>
      <c r="M732" s="17"/>
      <c r="BG732" s="10"/>
      <c r="BH732" s="13"/>
      <c r="BI732" s="13"/>
      <c r="BJ732" s="13"/>
      <c r="BK732" s="13"/>
      <c r="BL732" s="13"/>
      <c r="BM732" s="13"/>
      <c r="BN732" s="13"/>
      <c r="BO732" s="13"/>
      <c r="BP732" s="18"/>
    </row>
    <row r="733">
      <c r="L733" s="16"/>
      <c r="M733" s="17"/>
      <c r="BG733" s="10"/>
      <c r="BH733" s="13"/>
      <c r="BI733" s="13"/>
      <c r="BJ733" s="13"/>
      <c r="BK733" s="13"/>
      <c r="BL733" s="13"/>
      <c r="BM733" s="13"/>
      <c r="BN733" s="13"/>
      <c r="BO733" s="13"/>
      <c r="BP733" s="18"/>
    </row>
    <row r="734">
      <c r="L734" s="16"/>
      <c r="M734" s="17"/>
      <c r="BG734" s="10"/>
      <c r="BH734" s="13"/>
      <c r="BI734" s="13"/>
      <c r="BJ734" s="13"/>
      <c r="BK734" s="13"/>
      <c r="BL734" s="13"/>
      <c r="BM734" s="13"/>
      <c r="BN734" s="13"/>
      <c r="BO734" s="13"/>
      <c r="BP734" s="18"/>
    </row>
    <row r="735">
      <c r="L735" s="16"/>
      <c r="M735" s="17"/>
      <c r="BG735" s="10"/>
      <c r="BH735" s="13"/>
      <c r="BI735" s="13"/>
      <c r="BJ735" s="13"/>
      <c r="BK735" s="13"/>
      <c r="BL735" s="13"/>
      <c r="BM735" s="13"/>
      <c r="BN735" s="13"/>
      <c r="BO735" s="13"/>
      <c r="BP735" s="18"/>
    </row>
    <row r="736">
      <c r="L736" s="16"/>
      <c r="M736" s="17"/>
      <c r="BG736" s="10"/>
      <c r="BH736" s="13"/>
      <c r="BI736" s="13"/>
      <c r="BJ736" s="13"/>
      <c r="BK736" s="13"/>
      <c r="BL736" s="13"/>
      <c r="BM736" s="13"/>
      <c r="BN736" s="13"/>
      <c r="BO736" s="13"/>
      <c r="BP736" s="18"/>
    </row>
    <row r="737">
      <c r="L737" s="16"/>
      <c r="M737" s="17"/>
      <c r="BG737" s="10"/>
      <c r="BH737" s="13"/>
      <c r="BI737" s="13"/>
      <c r="BJ737" s="13"/>
      <c r="BK737" s="13"/>
      <c r="BL737" s="13"/>
      <c r="BM737" s="13"/>
      <c r="BN737" s="13"/>
      <c r="BO737" s="13"/>
      <c r="BP737" s="18"/>
    </row>
    <row r="738">
      <c r="L738" s="16"/>
      <c r="M738" s="17"/>
      <c r="BG738" s="10"/>
      <c r="BH738" s="13"/>
      <c r="BI738" s="13"/>
      <c r="BJ738" s="13"/>
      <c r="BK738" s="13"/>
      <c r="BL738" s="13"/>
      <c r="BM738" s="13"/>
      <c r="BN738" s="13"/>
      <c r="BO738" s="13"/>
      <c r="BP738" s="18"/>
    </row>
    <row r="739">
      <c r="L739" s="16"/>
      <c r="M739" s="17"/>
      <c r="BG739" s="10"/>
      <c r="BH739" s="13"/>
      <c r="BI739" s="13"/>
      <c r="BJ739" s="13"/>
      <c r="BK739" s="13"/>
      <c r="BL739" s="13"/>
      <c r="BM739" s="13"/>
      <c r="BN739" s="13"/>
      <c r="BO739" s="13"/>
      <c r="BP739" s="18"/>
    </row>
    <row r="740">
      <c r="L740" s="16"/>
      <c r="M740" s="17"/>
      <c r="BG740" s="10"/>
      <c r="BH740" s="13"/>
      <c r="BI740" s="13"/>
      <c r="BJ740" s="13"/>
      <c r="BK740" s="13"/>
      <c r="BL740" s="13"/>
      <c r="BM740" s="13"/>
      <c r="BN740" s="13"/>
      <c r="BO740" s="13"/>
      <c r="BP740" s="18"/>
    </row>
    <row r="741">
      <c r="L741" s="16"/>
      <c r="M741" s="17"/>
      <c r="BG741" s="10"/>
      <c r="BH741" s="13"/>
      <c r="BI741" s="13"/>
      <c r="BJ741" s="13"/>
      <c r="BK741" s="13"/>
      <c r="BL741" s="13"/>
      <c r="BM741" s="13"/>
      <c r="BN741" s="13"/>
      <c r="BO741" s="13"/>
      <c r="BP741" s="18"/>
    </row>
    <row r="742">
      <c r="L742" s="16"/>
      <c r="M742" s="17"/>
      <c r="BG742" s="10"/>
      <c r="BH742" s="13"/>
      <c r="BI742" s="13"/>
      <c r="BJ742" s="13"/>
      <c r="BK742" s="13"/>
      <c r="BL742" s="13"/>
      <c r="BM742" s="13"/>
      <c r="BN742" s="13"/>
      <c r="BO742" s="13"/>
      <c r="BP742" s="18"/>
    </row>
    <row r="743">
      <c r="L743" s="16"/>
      <c r="M743" s="17"/>
      <c r="BG743" s="10"/>
      <c r="BH743" s="13"/>
      <c r="BI743" s="13"/>
      <c r="BJ743" s="13"/>
      <c r="BK743" s="13"/>
      <c r="BL743" s="13"/>
      <c r="BM743" s="13"/>
      <c r="BN743" s="13"/>
      <c r="BO743" s="13"/>
      <c r="BP743" s="18"/>
    </row>
    <row r="744">
      <c r="L744" s="16"/>
      <c r="M744" s="17"/>
      <c r="BG744" s="10"/>
      <c r="BH744" s="13"/>
      <c r="BI744" s="13"/>
      <c r="BJ744" s="13"/>
      <c r="BK744" s="13"/>
      <c r="BL744" s="13"/>
      <c r="BM744" s="13"/>
      <c r="BN744" s="13"/>
      <c r="BO744" s="13"/>
      <c r="BP744" s="18"/>
    </row>
    <row r="745">
      <c r="L745" s="16"/>
      <c r="M745" s="17"/>
      <c r="BG745" s="10"/>
      <c r="BH745" s="13"/>
      <c r="BI745" s="13"/>
      <c r="BJ745" s="13"/>
      <c r="BK745" s="13"/>
      <c r="BL745" s="13"/>
      <c r="BM745" s="13"/>
      <c r="BN745" s="13"/>
      <c r="BO745" s="13"/>
      <c r="BP745" s="18"/>
    </row>
    <row r="746">
      <c r="L746" s="16"/>
      <c r="M746" s="17"/>
      <c r="BG746" s="10"/>
      <c r="BH746" s="13"/>
      <c r="BI746" s="13"/>
      <c r="BJ746" s="13"/>
      <c r="BK746" s="13"/>
      <c r="BL746" s="13"/>
      <c r="BM746" s="13"/>
      <c r="BN746" s="13"/>
      <c r="BO746" s="13"/>
      <c r="BP746" s="18"/>
    </row>
    <row r="747">
      <c r="L747" s="16"/>
      <c r="M747" s="17"/>
      <c r="BG747" s="10"/>
      <c r="BH747" s="13"/>
      <c r="BI747" s="13"/>
      <c r="BJ747" s="13"/>
      <c r="BK747" s="13"/>
      <c r="BL747" s="13"/>
      <c r="BM747" s="13"/>
      <c r="BN747" s="13"/>
      <c r="BO747" s="13"/>
      <c r="BP747" s="18"/>
    </row>
    <row r="748">
      <c r="L748" s="16"/>
      <c r="M748" s="17"/>
      <c r="BG748" s="10"/>
      <c r="BH748" s="13"/>
      <c r="BI748" s="13"/>
      <c r="BJ748" s="13"/>
      <c r="BK748" s="13"/>
      <c r="BL748" s="13"/>
      <c r="BM748" s="13"/>
      <c r="BN748" s="13"/>
      <c r="BO748" s="13"/>
      <c r="BP748" s="18"/>
    </row>
    <row r="749">
      <c r="L749" s="16"/>
      <c r="M749" s="17"/>
      <c r="BG749" s="10"/>
      <c r="BH749" s="13"/>
      <c r="BI749" s="13"/>
      <c r="BJ749" s="13"/>
      <c r="BK749" s="13"/>
      <c r="BL749" s="13"/>
      <c r="BM749" s="13"/>
      <c r="BN749" s="13"/>
      <c r="BO749" s="13"/>
      <c r="BP749" s="18"/>
    </row>
    <row r="750">
      <c r="L750" s="16"/>
      <c r="M750" s="17"/>
      <c r="BG750" s="10"/>
      <c r="BH750" s="13"/>
      <c r="BI750" s="13"/>
      <c r="BJ750" s="13"/>
      <c r="BK750" s="13"/>
      <c r="BL750" s="13"/>
      <c r="BM750" s="13"/>
      <c r="BN750" s="13"/>
      <c r="BO750" s="13"/>
      <c r="BP750" s="18"/>
    </row>
    <row r="751">
      <c r="L751" s="16"/>
      <c r="M751" s="17"/>
      <c r="BG751" s="10"/>
      <c r="BH751" s="13"/>
      <c r="BI751" s="13"/>
      <c r="BJ751" s="13"/>
      <c r="BK751" s="13"/>
      <c r="BL751" s="13"/>
      <c r="BM751" s="13"/>
      <c r="BN751" s="13"/>
      <c r="BO751" s="13"/>
      <c r="BP751" s="18"/>
    </row>
    <row r="752">
      <c r="L752" s="16"/>
      <c r="M752" s="17"/>
      <c r="BG752" s="10"/>
      <c r="BH752" s="13"/>
      <c r="BI752" s="13"/>
      <c r="BJ752" s="13"/>
      <c r="BK752" s="13"/>
      <c r="BL752" s="13"/>
      <c r="BM752" s="13"/>
      <c r="BN752" s="13"/>
      <c r="BO752" s="13"/>
      <c r="BP752" s="18"/>
    </row>
    <row r="753">
      <c r="L753" s="16"/>
      <c r="M753" s="17"/>
      <c r="BG753" s="10"/>
      <c r="BH753" s="13"/>
      <c r="BI753" s="13"/>
      <c r="BJ753" s="13"/>
      <c r="BK753" s="13"/>
      <c r="BL753" s="13"/>
      <c r="BM753" s="13"/>
      <c r="BN753" s="13"/>
      <c r="BO753" s="13"/>
      <c r="BP753" s="18"/>
    </row>
    <row r="754">
      <c r="L754" s="16"/>
      <c r="M754" s="17"/>
      <c r="BG754" s="10"/>
      <c r="BH754" s="13"/>
      <c r="BI754" s="13"/>
      <c r="BJ754" s="13"/>
      <c r="BK754" s="13"/>
      <c r="BL754" s="13"/>
      <c r="BM754" s="13"/>
      <c r="BN754" s="13"/>
      <c r="BO754" s="13"/>
      <c r="BP754" s="18"/>
    </row>
    <row r="755">
      <c r="L755" s="16"/>
      <c r="M755" s="17"/>
      <c r="BG755" s="10"/>
      <c r="BH755" s="13"/>
      <c r="BI755" s="13"/>
      <c r="BJ755" s="13"/>
      <c r="BK755" s="13"/>
      <c r="BL755" s="13"/>
      <c r="BM755" s="13"/>
      <c r="BN755" s="13"/>
      <c r="BO755" s="13"/>
      <c r="BP755" s="18"/>
    </row>
    <row r="756">
      <c r="L756" s="16"/>
      <c r="M756" s="17"/>
      <c r="BG756" s="10"/>
      <c r="BH756" s="13"/>
      <c r="BI756" s="13"/>
      <c r="BJ756" s="13"/>
      <c r="BK756" s="13"/>
      <c r="BL756" s="13"/>
      <c r="BM756" s="13"/>
      <c r="BN756" s="13"/>
      <c r="BO756" s="13"/>
      <c r="BP756" s="18"/>
    </row>
    <row r="757">
      <c r="L757" s="16"/>
      <c r="M757" s="17"/>
      <c r="BG757" s="10"/>
      <c r="BH757" s="13"/>
      <c r="BI757" s="13"/>
      <c r="BJ757" s="13"/>
      <c r="BK757" s="13"/>
      <c r="BL757" s="13"/>
      <c r="BM757" s="13"/>
      <c r="BN757" s="13"/>
      <c r="BO757" s="13"/>
      <c r="BP757" s="18"/>
    </row>
    <row r="758">
      <c r="L758" s="16"/>
      <c r="M758" s="17"/>
      <c r="BG758" s="10"/>
      <c r="BH758" s="13"/>
      <c r="BI758" s="13"/>
      <c r="BJ758" s="13"/>
      <c r="BK758" s="13"/>
      <c r="BL758" s="13"/>
      <c r="BM758" s="13"/>
      <c r="BN758" s="13"/>
      <c r="BO758" s="13"/>
      <c r="BP758" s="18"/>
    </row>
    <row r="759">
      <c r="L759" s="16"/>
      <c r="M759" s="17"/>
      <c r="BG759" s="10"/>
      <c r="BH759" s="13"/>
      <c r="BI759" s="13"/>
      <c r="BJ759" s="13"/>
      <c r="BK759" s="13"/>
      <c r="BL759" s="13"/>
      <c r="BM759" s="13"/>
      <c r="BN759" s="13"/>
      <c r="BO759" s="13"/>
      <c r="BP759" s="18"/>
    </row>
    <row r="760">
      <c r="L760" s="16"/>
      <c r="M760" s="17"/>
      <c r="BG760" s="10"/>
      <c r="BH760" s="13"/>
      <c r="BI760" s="13"/>
      <c r="BJ760" s="13"/>
      <c r="BK760" s="13"/>
      <c r="BL760" s="13"/>
      <c r="BM760" s="13"/>
      <c r="BN760" s="13"/>
      <c r="BO760" s="13"/>
      <c r="BP760" s="18"/>
    </row>
    <row r="761">
      <c r="L761" s="16"/>
      <c r="M761" s="17"/>
      <c r="BG761" s="10"/>
      <c r="BH761" s="13"/>
      <c r="BI761" s="13"/>
      <c r="BJ761" s="13"/>
      <c r="BK761" s="13"/>
      <c r="BL761" s="13"/>
      <c r="BM761" s="13"/>
      <c r="BN761" s="13"/>
      <c r="BO761" s="13"/>
      <c r="BP761" s="18"/>
    </row>
    <row r="762">
      <c r="L762" s="16"/>
      <c r="M762" s="17"/>
      <c r="BG762" s="10"/>
      <c r="BH762" s="13"/>
      <c r="BI762" s="13"/>
      <c r="BJ762" s="13"/>
      <c r="BK762" s="13"/>
      <c r="BL762" s="13"/>
      <c r="BM762" s="13"/>
      <c r="BN762" s="13"/>
      <c r="BO762" s="13"/>
      <c r="BP762" s="18"/>
    </row>
    <row r="763">
      <c r="L763" s="16"/>
      <c r="M763" s="17"/>
      <c r="BG763" s="10"/>
      <c r="BH763" s="13"/>
      <c r="BI763" s="13"/>
      <c r="BJ763" s="13"/>
      <c r="BK763" s="13"/>
      <c r="BL763" s="13"/>
      <c r="BM763" s="13"/>
      <c r="BN763" s="13"/>
      <c r="BO763" s="13"/>
      <c r="BP763" s="18"/>
    </row>
    <row r="764">
      <c r="L764" s="16"/>
      <c r="M764" s="17"/>
      <c r="BG764" s="10"/>
      <c r="BH764" s="13"/>
      <c r="BI764" s="13"/>
      <c r="BJ764" s="13"/>
      <c r="BK764" s="13"/>
      <c r="BL764" s="13"/>
      <c r="BM764" s="13"/>
      <c r="BN764" s="13"/>
      <c r="BO764" s="13"/>
      <c r="BP764" s="18"/>
    </row>
    <row r="765">
      <c r="L765" s="16"/>
      <c r="M765" s="17"/>
      <c r="BG765" s="10"/>
      <c r="BH765" s="13"/>
      <c r="BI765" s="13"/>
      <c r="BJ765" s="13"/>
      <c r="BK765" s="13"/>
      <c r="BL765" s="13"/>
      <c r="BM765" s="13"/>
      <c r="BN765" s="13"/>
      <c r="BO765" s="13"/>
      <c r="BP765" s="18"/>
    </row>
    <row r="766">
      <c r="L766" s="16"/>
      <c r="M766" s="17"/>
      <c r="BG766" s="10"/>
      <c r="BH766" s="13"/>
      <c r="BI766" s="13"/>
      <c r="BJ766" s="13"/>
      <c r="BK766" s="13"/>
      <c r="BL766" s="13"/>
      <c r="BM766" s="13"/>
      <c r="BN766" s="13"/>
      <c r="BO766" s="13"/>
      <c r="BP766" s="18"/>
    </row>
    <row r="767">
      <c r="L767" s="16"/>
      <c r="M767" s="17"/>
      <c r="BG767" s="10"/>
      <c r="BH767" s="13"/>
      <c r="BI767" s="13"/>
      <c r="BJ767" s="13"/>
      <c r="BK767" s="13"/>
      <c r="BL767" s="13"/>
      <c r="BM767" s="13"/>
      <c r="BN767" s="13"/>
      <c r="BO767" s="13"/>
      <c r="BP767" s="18"/>
    </row>
    <row r="768">
      <c r="L768" s="16"/>
      <c r="M768" s="17"/>
      <c r="BG768" s="10"/>
      <c r="BH768" s="13"/>
      <c r="BI768" s="13"/>
      <c r="BJ768" s="13"/>
      <c r="BK768" s="13"/>
      <c r="BL768" s="13"/>
      <c r="BM768" s="13"/>
      <c r="BN768" s="13"/>
      <c r="BO768" s="13"/>
      <c r="BP768" s="18"/>
    </row>
    <row r="769">
      <c r="L769" s="16"/>
      <c r="M769" s="17"/>
      <c r="BG769" s="10"/>
      <c r="BH769" s="13"/>
      <c r="BI769" s="13"/>
      <c r="BJ769" s="13"/>
      <c r="BK769" s="13"/>
      <c r="BL769" s="13"/>
      <c r="BM769" s="13"/>
      <c r="BN769" s="13"/>
      <c r="BO769" s="13"/>
      <c r="BP769" s="18"/>
    </row>
    <row r="770">
      <c r="L770" s="16"/>
      <c r="M770" s="17"/>
      <c r="BG770" s="10"/>
      <c r="BH770" s="13"/>
      <c r="BI770" s="13"/>
      <c r="BJ770" s="13"/>
      <c r="BK770" s="13"/>
      <c r="BL770" s="13"/>
      <c r="BM770" s="13"/>
      <c r="BN770" s="13"/>
      <c r="BO770" s="13"/>
      <c r="BP770" s="18"/>
    </row>
    <row r="771">
      <c r="L771" s="16"/>
      <c r="M771" s="17"/>
      <c r="BG771" s="10"/>
      <c r="BH771" s="13"/>
      <c r="BI771" s="13"/>
      <c r="BJ771" s="13"/>
      <c r="BK771" s="13"/>
      <c r="BL771" s="13"/>
      <c r="BM771" s="13"/>
      <c r="BN771" s="13"/>
      <c r="BO771" s="13"/>
      <c r="BP771" s="18"/>
    </row>
    <row r="772">
      <c r="L772" s="16"/>
      <c r="M772" s="17"/>
      <c r="BG772" s="10"/>
      <c r="BH772" s="13"/>
      <c r="BI772" s="13"/>
      <c r="BJ772" s="13"/>
      <c r="BK772" s="13"/>
      <c r="BL772" s="13"/>
      <c r="BM772" s="13"/>
      <c r="BN772" s="13"/>
      <c r="BO772" s="13"/>
      <c r="BP772" s="18"/>
    </row>
    <row r="773">
      <c r="L773" s="16"/>
      <c r="M773" s="17"/>
      <c r="BG773" s="10"/>
      <c r="BH773" s="13"/>
      <c r="BI773" s="13"/>
      <c r="BJ773" s="13"/>
      <c r="BK773" s="13"/>
      <c r="BL773" s="13"/>
      <c r="BM773" s="13"/>
      <c r="BN773" s="13"/>
      <c r="BO773" s="13"/>
      <c r="BP773" s="18"/>
    </row>
    <row r="774">
      <c r="L774" s="16"/>
      <c r="M774" s="17"/>
      <c r="BG774" s="10"/>
      <c r="BH774" s="13"/>
      <c r="BI774" s="13"/>
      <c r="BJ774" s="13"/>
      <c r="BK774" s="13"/>
      <c r="BL774" s="13"/>
      <c r="BM774" s="13"/>
      <c r="BN774" s="13"/>
      <c r="BO774" s="13"/>
      <c r="BP774" s="18"/>
    </row>
    <row r="775">
      <c r="L775" s="16"/>
      <c r="M775" s="17"/>
      <c r="BG775" s="10"/>
      <c r="BH775" s="13"/>
      <c r="BI775" s="13"/>
      <c r="BJ775" s="13"/>
      <c r="BK775" s="13"/>
      <c r="BL775" s="13"/>
      <c r="BM775" s="13"/>
      <c r="BN775" s="13"/>
      <c r="BO775" s="13"/>
      <c r="BP775" s="18"/>
    </row>
    <row r="776">
      <c r="L776" s="16"/>
      <c r="M776" s="17"/>
      <c r="BG776" s="10"/>
      <c r="BH776" s="13"/>
      <c r="BI776" s="13"/>
      <c r="BJ776" s="13"/>
      <c r="BK776" s="13"/>
      <c r="BL776" s="13"/>
      <c r="BM776" s="13"/>
      <c r="BN776" s="13"/>
      <c r="BO776" s="13"/>
      <c r="BP776" s="18"/>
    </row>
    <row r="777">
      <c r="L777" s="16"/>
      <c r="M777" s="17"/>
      <c r="BG777" s="10"/>
      <c r="BH777" s="13"/>
      <c r="BI777" s="13"/>
      <c r="BJ777" s="13"/>
      <c r="BK777" s="13"/>
      <c r="BL777" s="13"/>
      <c r="BM777" s="13"/>
      <c r="BN777" s="13"/>
      <c r="BO777" s="13"/>
      <c r="BP777" s="18"/>
    </row>
    <row r="778">
      <c r="L778" s="16"/>
      <c r="M778" s="17"/>
      <c r="BG778" s="10"/>
      <c r="BH778" s="13"/>
      <c r="BI778" s="13"/>
      <c r="BJ778" s="13"/>
      <c r="BK778" s="13"/>
      <c r="BL778" s="13"/>
      <c r="BM778" s="13"/>
      <c r="BN778" s="13"/>
      <c r="BO778" s="13"/>
      <c r="BP778" s="18"/>
    </row>
    <row r="779">
      <c r="L779" s="16"/>
      <c r="M779" s="17"/>
      <c r="BG779" s="10"/>
      <c r="BH779" s="13"/>
      <c r="BI779" s="13"/>
      <c r="BJ779" s="13"/>
      <c r="BK779" s="13"/>
      <c r="BL779" s="13"/>
      <c r="BM779" s="13"/>
      <c r="BN779" s="13"/>
      <c r="BO779" s="13"/>
      <c r="BP779" s="18"/>
    </row>
    <row r="780">
      <c r="L780" s="16"/>
      <c r="M780" s="17"/>
      <c r="BG780" s="10"/>
      <c r="BH780" s="13"/>
      <c r="BI780" s="13"/>
      <c r="BJ780" s="13"/>
      <c r="BK780" s="13"/>
      <c r="BL780" s="13"/>
      <c r="BM780" s="13"/>
      <c r="BN780" s="13"/>
      <c r="BO780" s="13"/>
      <c r="BP780" s="18"/>
    </row>
    <row r="781">
      <c r="L781" s="16"/>
      <c r="M781" s="17"/>
      <c r="BG781" s="10"/>
      <c r="BH781" s="13"/>
      <c r="BI781" s="13"/>
      <c r="BJ781" s="13"/>
      <c r="BK781" s="13"/>
      <c r="BL781" s="13"/>
      <c r="BM781" s="13"/>
      <c r="BN781" s="13"/>
      <c r="BO781" s="13"/>
      <c r="BP781" s="18"/>
    </row>
    <row r="782">
      <c r="L782" s="16"/>
      <c r="M782" s="17"/>
      <c r="BG782" s="10"/>
      <c r="BH782" s="13"/>
      <c r="BI782" s="13"/>
      <c r="BJ782" s="13"/>
      <c r="BK782" s="13"/>
      <c r="BL782" s="13"/>
      <c r="BM782" s="13"/>
      <c r="BN782" s="13"/>
      <c r="BO782" s="13"/>
      <c r="BP782" s="18"/>
    </row>
    <row r="783">
      <c r="L783" s="16"/>
      <c r="M783" s="17"/>
      <c r="BG783" s="10"/>
      <c r="BH783" s="13"/>
      <c r="BI783" s="13"/>
      <c r="BJ783" s="13"/>
      <c r="BK783" s="13"/>
      <c r="BL783" s="13"/>
      <c r="BM783" s="13"/>
      <c r="BN783" s="13"/>
      <c r="BO783" s="13"/>
      <c r="BP783" s="18"/>
    </row>
    <row r="784">
      <c r="L784" s="16"/>
      <c r="M784" s="17"/>
      <c r="BG784" s="10"/>
      <c r="BH784" s="13"/>
      <c r="BI784" s="13"/>
      <c r="BJ784" s="13"/>
      <c r="BK784" s="13"/>
      <c r="BL784" s="13"/>
      <c r="BM784" s="13"/>
      <c r="BN784" s="13"/>
      <c r="BO784" s="13"/>
      <c r="BP784" s="18"/>
    </row>
    <row r="785">
      <c r="L785" s="16"/>
      <c r="M785" s="17"/>
      <c r="BG785" s="10"/>
      <c r="BH785" s="13"/>
      <c r="BI785" s="13"/>
      <c r="BJ785" s="13"/>
      <c r="BK785" s="13"/>
      <c r="BL785" s="13"/>
      <c r="BM785" s="13"/>
      <c r="BN785" s="13"/>
      <c r="BO785" s="13"/>
      <c r="BP785" s="18"/>
    </row>
    <row r="786">
      <c r="L786" s="16"/>
      <c r="M786" s="17"/>
      <c r="BG786" s="10"/>
      <c r="BH786" s="13"/>
      <c r="BI786" s="13"/>
      <c r="BJ786" s="13"/>
      <c r="BK786" s="13"/>
      <c r="BL786" s="13"/>
      <c r="BM786" s="13"/>
      <c r="BN786" s="13"/>
      <c r="BO786" s="13"/>
      <c r="BP786" s="18"/>
    </row>
    <row r="787">
      <c r="L787" s="16"/>
      <c r="M787" s="17"/>
      <c r="BG787" s="10"/>
      <c r="BH787" s="13"/>
      <c r="BI787" s="13"/>
      <c r="BJ787" s="13"/>
      <c r="BK787" s="13"/>
      <c r="BL787" s="13"/>
      <c r="BM787" s="13"/>
      <c r="BN787" s="13"/>
      <c r="BO787" s="13"/>
      <c r="BP787" s="18"/>
    </row>
    <row r="788">
      <c r="L788" s="16"/>
      <c r="M788" s="17"/>
      <c r="BG788" s="10"/>
      <c r="BH788" s="13"/>
      <c r="BI788" s="13"/>
      <c r="BJ788" s="13"/>
      <c r="BK788" s="13"/>
      <c r="BL788" s="13"/>
      <c r="BM788" s="13"/>
      <c r="BN788" s="13"/>
      <c r="BO788" s="13"/>
      <c r="BP788" s="18"/>
    </row>
    <row r="789">
      <c r="L789" s="16"/>
      <c r="M789" s="17"/>
      <c r="BG789" s="10"/>
      <c r="BH789" s="13"/>
      <c r="BI789" s="13"/>
      <c r="BJ789" s="13"/>
      <c r="BK789" s="13"/>
      <c r="BL789" s="13"/>
      <c r="BM789" s="13"/>
      <c r="BN789" s="13"/>
      <c r="BO789" s="13"/>
      <c r="BP789" s="18"/>
    </row>
    <row r="790">
      <c r="L790" s="16"/>
      <c r="M790" s="17"/>
      <c r="BG790" s="10"/>
      <c r="BH790" s="13"/>
      <c r="BI790" s="13"/>
      <c r="BJ790" s="13"/>
      <c r="BK790" s="13"/>
      <c r="BL790" s="13"/>
      <c r="BM790" s="13"/>
      <c r="BN790" s="13"/>
      <c r="BO790" s="13"/>
      <c r="BP790" s="18"/>
    </row>
    <row r="791">
      <c r="L791" s="16"/>
      <c r="M791" s="17"/>
      <c r="BG791" s="10"/>
      <c r="BH791" s="13"/>
      <c r="BI791" s="13"/>
      <c r="BJ791" s="13"/>
      <c r="BK791" s="13"/>
      <c r="BL791" s="13"/>
      <c r="BM791" s="13"/>
      <c r="BN791" s="13"/>
      <c r="BO791" s="13"/>
      <c r="BP791" s="18"/>
    </row>
    <row r="792">
      <c r="L792" s="16"/>
      <c r="M792" s="17"/>
      <c r="BG792" s="10"/>
      <c r="BH792" s="13"/>
      <c r="BI792" s="13"/>
      <c r="BJ792" s="13"/>
      <c r="BK792" s="13"/>
      <c r="BL792" s="13"/>
      <c r="BM792" s="13"/>
      <c r="BN792" s="13"/>
      <c r="BO792" s="13"/>
      <c r="BP792" s="18"/>
    </row>
    <row r="793">
      <c r="L793" s="16"/>
      <c r="M793" s="17"/>
      <c r="BG793" s="10"/>
      <c r="BH793" s="13"/>
      <c r="BI793" s="13"/>
      <c r="BJ793" s="13"/>
      <c r="BK793" s="13"/>
      <c r="BL793" s="13"/>
      <c r="BM793" s="13"/>
      <c r="BN793" s="13"/>
      <c r="BO793" s="13"/>
      <c r="BP793" s="18"/>
    </row>
    <row r="794">
      <c r="L794" s="16"/>
      <c r="M794" s="17"/>
      <c r="BG794" s="10"/>
      <c r="BH794" s="13"/>
      <c r="BI794" s="13"/>
      <c r="BJ794" s="13"/>
      <c r="BK794" s="13"/>
      <c r="BL794" s="13"/>
      <c r="BM794" s="13"/>
      <c r="BN794" s="13"/>
      <c r="BO794" s="13"/>
      <c r="BP794" s="18"/>
    </row>
    <row r="795">
      <c r="L795" s="16"/>
      <c r="M795" s="17"/>
      <c r="BG795" s="10"/>
      <c r="BH795" s="13"/>
      <c r="BI795" s="13"/>
      <c r="BJ795" s="13"/>
      <c r="BK795" s="13"/>
      <c r="BL795" s="13"/>
      <c r="BM795" s="13"/>
      <c r="BN795" s="13"/>
      <c r="BO795" s="13"/>
      <c r="BP795" s="18"/>
    </row>
    <row r="796">
      <c r="L796" s="16"/>
      <c r="M796" s="17"/>
      <c r="BG796" s="10"/>
      <c r="BH796" s="13"/>
      <c r="BI796" s="13"/>
      <c r="BJ796" s="13"/>
      <c r="BK796" s="13"/>
      <c r="BL796" s="13"/>
      <c r="BM796" s="13"/>
      <c r="BN796" s="13"/>
      <c r="BO796" s="13"/>
      <c r="BP796" s="18"/>
    </row>
    <row r="797">
      <c r="L797" s="16"/>
      <c r="M797" s="17"/>
      <c r="BG797" s="10"/>
      <c r="BH797" s="13"/>
      <c r="BI797" s="13"/>
      <c r="BJ797" s="13"/>
      <c r="BK797" s="13"/>
      <c r="BL797" s="13"/>
      <c r="BM797" s="13"/>
      <c r="BN797" s="13"/>
      <c r="BO797" s="13"/>
      <c r="BP797" s="18"/>
    </row>
    <row r="798">
      <c r="L798" s="16"/>
      <c r="M798" s="17"/>
      <c r="BG798" s="10"/>
      <c r="BH798" s="13"/>
      <c r="BI798" s="13"/>
      <c r="BJ798" s="13"/>
      <c r="BK798" s="13"/>
      <c r="BL798" s="13"/>
      <c r="BM798" s="13"/>
      <c r="BN798" s="13"/>
      <c r="BO798" s="13"/>
      <c r="BP798" s="18"/>
    </row>
    <row r="799">
      <c r="L799" s="16"/>
      <c r="M799" s="17"/>
      <c r="BG799" s="10"/>
      <c r="BH799" s="13"/>
      <c r="BI799" s="13"/>
      <c r="BJ799" s="13"/>
      <c r="BK799" s="13"/>
      <c r="BL799" s="13"/>
      <c r="BM799" s="13"/>
      <c r="BN799" s="13"/>
      <c r="BO799" s="13"/>
      <c r="BP799" s="18"/>
    </row>
    <row r="800">
      <c r="L800" s="16"/>
      <c r="M800" s="17"/>
      <c r="BG800" s="10"/>
      <c r="BH800" s="13"/>
      <c r="BI800" s="13"/>
      <c r="BJ800" s="13"/>
      <c r="BK800" s="13"/>
      <c r="BL800" s="13"/>
      <c r="BM800" s="13"/>
      <c r="BN800" s="13"/>
      <c r="BO800" s="13"/>
      <c r="BP800" s="18"/>
    </row>
    <row r="801">
      <c r="L801" s="16"/>
      <c r="M801" s="17"/>
      <c r="BG801" s="10"/>
      <c r="BH801" s="13"/>
      <c r="BI801" s="13"/>
      <c r="BJ801" s="13"/>
      <c r="BK801" s="13"/>
      <c r="BL801" s="13"/>
      <c r="BM801" s="13"/>
      <c r="BN801" s="13"/>
      <c r="BO801" s="13"/>
      <c r="BP801" s="18"/>
    </row>
    <row r="802">
      <c r="L802" s="16"/>
      <c r="M802" s="17"/>
      <c r="BG802" s="10"/>
      <c r="BH802" s="13"/>
      <c r="BI802" s="13"/>
      <c r="BJ802" s="13"/>
      <c r="BK802" s="13"/>
      <c r="BL802" s="13"/>
      <c r="BM802" s="13"/>
      <c r="BN802" s="13"/>
      <c r="BO802" s="13"/>
      <c r="BP802" s="18"/>
    </row>
    <row r="803">
      <c r="L803" s="16"/>
      <c r="M803" s="17"/>
      <c r="BG803" s="10"/>
      <c r="BH803" s="13"/>
      <c r="BI803" s="13"/>
      <c r="BJ803" s="13"/>
      <c r="BK803" s="13"/>
      <c r="BL803" s="13"/>
      <c r="BM803" s="13"/>
      <c r="BN803" s="13"/>
      <c r="BO803" s="13"/>
      <c r="BP803" s="18"/>
    </row>
    <row r="804">
      <c r="L804" s="16"/>
      <c r="M804" s="17"/>
      <c r="BG804" s="10"/>
      <c r="BH804" s="13"/>
      <c r="BI804" s="13"/>
      <c r="BJ804" s="13"/>
      <c r="BK804" s="13"/>
      <c r="BL804" s="13"/>
      <c r="BM804" s="13"/>
      <c r="BN804" s="13"/>
      <c r="BO804" s="13"/>
      <c r="BP804" s="18"/>
    </row>
    <row r="805">
      <c r="L805" s="16"/>
      <c r="M805" s="17"/>
      <c r="BG805" s="10"/>
      <c r="BH805" s="13"/>
      <c r="BI805" s="13"/>
      <c r="BJ805" s="13"/>
      <c r="BK805" s="13"/>
      <c r="BL805" s="13"/>
      <c r="BM805" s="13"/>
      <c r="BN805" s="13"/>
      <c r="BO805" s="13"/>
      <c r="BP805" s="18"/>
    </row>
    <row r="806">
      <c r="L806" s="16"/>
      <c r="M806" s="17"/>
      <c r="BG806" s="10"/>
      <c r="BH806" s="13"/>
      <c r="BI806" s="13"/>
      <c r="BJ806" s="13"/>
      <c r="BK806" s="13"/>
      <c r="BL806" s="13"/>
      <c r="BM806" s="13"/>
      <c r="BN806" s="13"/>
      <c r="BO806" s="13"/>
      <c r="BP806" s="18"/>
    </row>
    <row r="807">
      <c r="L807" s="16"/>
      <c r="M807" s="17"/>
      <c r="BG807" s="10"/>
      <c r="BH807" s="13"/>
      <c r="BI807" s="13"/>
      <c r="BJ807" s="13"/>
      <c r="BK807" s="13"/>
      <c r="BL807" s="13"/>
      <c r="BM807" s="13"/>
      <c r="BN807" s="13"/>
      <c r="BO807" s="13"/>
      <c r="BP807" s="18"/>
    </row>
    <row r="808">
      <c r="L808" s="16"/>
      <c r="M808" s="17"/>
      <c r="BG808" s="10"/>
      <c r="BH808" s="13"/>
      <c r="BI808" s="13"/>
      <c r="BJ808" s="13"/>
      <c r="BK808" s="13"/>
      <c r="BL808" s="13"/>
      <c r="BM808" s="13"/>
      <c r="BN808" s="13"/>
      <c r="BO808" s="13"/>
      <c r="BP808" s="18"/>
    </row>
    <row r="809">
      <c r="L809" s="16"/>
      <c r="M809" s="17"/>
      <c r="BG809" s="10"/>
      <c r="BH809" s="13"/>
      <c r="BI809" s="13"/>
      <c r="BJ809" s="13"/>
      <c r="BK809" s="13"/>
      <c r="BL809" s="13"/>
      <c r="BM809" s="13"/>
      <c r="BN809" s="13"/>
      <c r="BO809" s="13"/>
      <c r="BP809" s="18"/>
    </row>
    <row r="810">
      <c r="L810" s="16"/>
      <c r="M810" s="17"/>
      <c r="BG810" s="10"/>
      <c r="BH810" s="13"/>
      <c r="BI810" s="13"/>
      <c r="BJ810" s="13"/>
      <c r="BK810" s="13"/>
      <c r="BL810" s="13"/>
      <c r="BM810" s="13"/>
      <c r="BN810" s="13"/>
      <c r="BO810" s="13"/>
      <c r="BP810" s="18"/>
    </row>
    <row r="811">
      <c r="L811" s="16"/>
      <c r="M811" s="17"/>
      <c r="BG811" s="10"/>
      <c r="BH811" s="13"/>
      <c r="BI811" s="13"/>
      <c r="BJ811" s="13"/>
      <c r="BK811" s="13"/>
      <c r="BL811" s="13"/>
      <c r="BM811" s="13"/>
      <c r="BN811" s="13"/>
      <c r="BO811" s="13"/>
      <c r="BP811" s="18"/>
    </row>
    <row r="812">
      <c r="L812" s="16"/>
      <c r="M812" s="17"/>
      <c r="BG812" s="10"/>
      <c r="BH812" s="13"/>
      <c r="BI812" s="13"/>
      <c r="BJ812" s="13"/>
      <c r="BK812" s="13"/>
      <c r="BL812" s="13"/>
      <c r="BM812" s="13"/>
      <c r="BN812" s="13"/>
      <c r="BO812" s="13"/>
      <c r="BP812" s="18"/>
    </row>
    <row r="813">
      <c r="L813" s="16"/>
      <c r="M813" s="17"/>
      <c r="BG813" s="10"/>
      <c r="BH813" s="13"/>
      <c r="BI813" s="13"/>
      <c r="BJ813" s="13"/>
      <c r="BK813" s="13"/>
      <c r="BL813" s="13"/>
      <c r="BM813" s="13"/>
      <c r="BN813" s="13"/>
      <c r="BO813" s="13"/>
      <c r="BP813" s="18"/>
    </row>
    <row r="814">
      <c r="L814" s="16"/>
      <c r="M814" s="17"/>
      <c r="BG814" s="10"/>
      <c r="BH814" s="13"/>
      <c r="BI814" s="13"/>
      <c r="BJ814" s="13"/>
      <c r="BK814" s="13"/>
      <c r="BL814" s="13"/>
      <c r="BM814" s="13"/>
      <c r="BN814" s="13"/>
      <c r="BO814" s="13"/>
      <c r="BP814" s="18"/>
    </row>
    <row r="815">
      <c r="L815" s="16"/>
      <c r="M815" s="17"/>
      <c r="BG815" s="10"/>
      <c r="BH815" s="13"/>
      <c r="BI815" s="13"/>
      <c r="BJ815" s="13"/>
      <c r="BK815" s="13"/>
      <c r="BL815" s="13"/>
      <c r="BM815" s="13"/>
      <c r="BN815" s="13"/>
      <c r="BO815" s="13"/>
      <c r="BP815" s="18"/>
    </row>
    <row r="816">
      <c r="L816" s="16"/>
      <c r="M816" s="17"/>
      <c r="BG816" s="10"/>
      <c r="BH816" s="13"/>
      <c r="BI816" s="13"/>
      <c r="BJ816" s="13"/>
      <c r="BK816" s="13"/>
      <c r="BL816" s="13"/>
      <c r="BM816" s="13"/>
      <c r="BN816" s="13"/>
      <c r="BO816" s="13"/>
      <c r="BP816" s="18"/>
    </row>
    <row r="817">
      <c r="L817" s="16"/>
      <c r="M817" s="17"/>
      <c r="BG817" s="10"/>
      <c r="BH817" s="13"/>
      <c r="BI817" s="13"/>
      <c r="BJ817" s="13"/>
      <c r="BK817" s="13"/>
      <c r="BL817" s="13"/>
      <c r="BM817" s="13"/>
      <c r="BN817" s="13"/>
      <c r="BO817" s="13"/>
      <c r="BP817" s="18"/>
    </row>
    <row r="818">
      <c r="L818" s="16"/>
      <c r="M818" s="17"/>
      <c r="BG818" s="10"/>
      <c r="BH818" s="13"/>
      <c r="BI818" s="13"/>
      <c r="BJ818" s="13"/>
      <c r="BK818" s="13"/>
      <c r="BL818" s="13"/>
      <c r="BM818" s="13"/>
      <c r="BN818" s="13"/>
      <c r="BO818" s="13"/>
      <c r="BP818" s="18"/>
    </row>
    <row r="819">
      <c r="L819" s="16"/>
      <c r="M819" s="17"/>
      <c r="BG819" s="10"/>
      <c r="BH819" s="13"/>
      <c r="BI819" s="13"/>
      <c r="BJ819" s="13"/>
      <c r="BK819" s="13"/>
      <c r="BL819" s="13"/>
      <c r="BM819" s="13"/>
      <c r="BN819" s="13"/>
      <c r="BO819" s="13"/>
      <c r="BP819" s="18"/>
    </row>
    <row r="820">
      <c r="L820" s="16"/>
      <c r="M820" s="17"/>
      <c r="BG820" s="10"/>
      <c r="BH820" s="13"/>
      <c r="BI820" s="13"/>
      <c r="BJ820" s="13"/>
      <c r="BK820" s="13"/>
      <c r="BL820" s="13"/>
      <c r="BM820" s="13"/>
      <c r="BN820" s="13"/>
      <c r="BO820" s="13"/>
      <c r="BP820" s="18"/>
    </row>
    <row r="821">
      <c r="L821" s="16"/>
      <c r="M821" s="17"/>
      <c r="BG821" s="10"/>
      <c r="BH821" s="13"/>
      <c r="BI821" s="13"/>
      <c r="BJ821" s="13"/>
      <c r="BK821" s="13"/>
      <c r="BL821" s="13"/>
      <c r="BM821" s="13"/>
      <c r="BN821" s="13"/>
      <c r="BO821" s="13"/>
      <c r="BP821" s="18"/>
    </row>
    <row r="822">
      <c r="L822" s="16"/>
      <c r="M822" s="17"/>
      <c r="BG822" s="10"/>
      <c r="BH822" s="13"/>
      <c r="BI822" s="13"/>
      <c r="BJ822" s="13"/>
      <c r="BK822" s="13"/>
      <c r="BL822" s="13"/>
      <c r="BM822" s="13"/>
      <c r="BN822" s="13"/>
      <c r="BO822" s="13"/>
      <c r="BP822" s="18"/>
    </row>
    <row r="823">
      <c r="L823" s="16"/>
      <c r="M823" s="17"/>
      <c r="BG823" s="10"/>
      <c r="BH823" s="13"/>
      <c r="BI823" s="13"/>
      <c r="BJ823" s="13"/>
      <c r="BK823" s="13"/>
      <c r="BL823" s="13"/>
      <c r="BM823" s="13"/>
      <c r="BN823" s="13"/>
      <c r="BO823" s="13"/>
      <c r="BP823" s="18"/>
    </row>
    <row r="824">
      <c r="L824" s="16"/>
      <c r="M824" s="17"/>
      <c r="BG824" s="10"/>
      <c r="BH824" s="13"/>
      <c r="BI824" s="13"/>
      <c r="BJ824" s="13"/>
      <c r="BK824" s="13"/>
      <c r="BL824" s="13"/>
      <c r="BM824" s="13"/>
      <c r="BN824" s="13"/>
      <c r="BO824" s="13"/>
      <c r="BP824" s="18"/>
    </row>
    <row r="825">
      <c r="L825" s="16"/>
      <c r="M825" s="17"/>
      <c r="BG825" s="10"/>
      <c r="BH825" s="13"/>
      <c r="BI825" s="13"/>
      <c r="BJ825" s="13"/>
      <c r="BK825" s="13"/>
      <c r="BL825" s="13"/>
      <c r="BM825" s="13"/>
      <c r="BN825" s="13"/>
      <c r="BO825" s="13"/>
      <c r="BP825" s="18"/>
    </row>
    <row r="826">
      <c r="L826" s="16"/>
      <c r="M826" s="17"/>
      <c r="BG826" s="10"/>
      <c r="BH826" s="13"/>
      <c r="BI826" s="13"/>
      <c r="BJ826" s="13"/>
      <c r="BK826" s="13"/>
      <c r="BL826" s="13"/>
      <c r="BM826" s="13"/>
      <c r="BN826" s="13"/>
      <c r="BO826" s="13"/>
      <c r="BP826" s="18"/>
    </row>
    <row r="827">
      <c r="L827" s="16"/>
      <c r="M827" s="17"/>
      <c r="BG827" s="10"/>
      <c r="BH827" s="13"/>
      <c r="BI827" s="13"/>
      <c r="BJ827" s="13"/>
      <c r="BK827" s="13"/>
      <c r="BL827" s="13"/>
      <c r="BM827" s="13"/>
      <c r="BN827" s="13"/>
      <c r="BO827" s="13"/>
      <c r="BP827" s="18"/>
    </row>
    <row r="828">
      <c r="L828" s="16"/>
      <c r="M828" s="17"/>
      <c r="BG828" s="10"/>
      <c r="BH828" s="13"/>
      <c r="BI828" s="13"/>
      <c r="BJ828" s="13"/>
      <c r="BK828" s="13"/>
      <c r="BL828" s="13"/>
      <c r="BM828" s="13"/>
      <c r="BN828" s="13"/>
      <c r="BO828" s="13"/>
      <c r="BP828" s="18"/>
    </row>
    <row r="829">
      <c r="L829" s="16"/>
      <c r="M829" s="17"/>
      <c r="BG829" s="10"/>
      <c r="BH829" s="13"/>
      <c r="BI829" s="13"/>
      <c r="BJ829" s="13"/>
      <c r="BK829" s="13"/>
      <c r="BL829" s="13"/>
      <c r="BM829" s="13"/>
      <c r="BN829" s="13"/>
      <c r="BO829" s="13"/>
      <c r="BP829" s="18"/>
    </row>
    <row r="830">
      <c r="L830" s="16"/>
      <c r="M830" s="17"/>
      <c r="BG830" s="10"/>
      <c r="BH830" s="13"/>
      <c r="BI830" s="13"/>
      <c r="BJ830" s="13"/>
      <c r="BK830" s="13"/>
      <c r="BL830" s="13"/>
      <c r="BM830" s="13"/>
      <c r="BN830" s="13"/>
      <c r="BO830" s="13"/>
      <c r="BP830" s="18"/>
    </row>
    <row r="831">
      <c r="L831" s="16"/>
      <c r="M831" s="17"/>
      <c r="BG831" s="10"/>
      <c r="BH831" s="13"/>
      <c r="BI831" s="13"/>
      <c r="BJ831" s="13"/>
      <c r="BK831" s="13"/>
      <c r="BL831" s="13"/>
      <c r="BM831" s="13"/>
      <c r="BN831" s="13"/>
      <c r="BO831" s="13"/>
      <c r="BP831" s="18"/>
    </row>
    <row r="832">
      <c r="L832" s="16"/>
      <c r="M832" s="17"/>
      <c r="BG832" s="10"/>
      <c r="BH832" s="13"/>
      <c r="BI832" s="13"/>
      <c r="BJ832" s="13"/>
      <c r="BK832" s="13"/>
      <c r="BL832" s="13"/>
      <c r="BM832" s="13"/>
      <c r="BN832" s="13"/>
      <c r="BO832" s="13"/>
      <c r="BP832" s="18"/>
    </row>
    <row r="833">
      <c r="L833" s="16"/>
      <c r="M833" s="17"/>
      <c r="BG833" s="10"/>
      <c r="BH833" s="13"/>
      <c r="BI833" s="13"/>
      <c r="BJ833" s="13"/>
      <c r="BK833" s="13"/>
      <c r="BL833" s="13"/>
      <c r="BM833" s="13"/>
      <c r="BN833" s="13"/>
      <c r="BO833" s="13"/>
      <c r="BP833" s="18"/>
    </row>
    <row r="834">
      <c r="L834" s="16"/>
      <c r="M834" s="17"/>
      <c r="BG834" s="10"/>
      <c r="BH834" s="13"/>
      <c r="BI834" s="13"/>
      <c r="BJ834" s="13"/>
      <c r="BK834" s="13"/>
      <c r="BL834" s="13"/>
      <c r="BM834" s="13"/>
      <c r="BN834" s="13"/>
      <c r="BO834" s="13"/>
      <c r="BP834" s="18"/>
    </row>
    <row r="835">
      <c r="L835" s="16"/>
      <c r="M835" s="17"/>
      <c r="BG835" s="10"/>
      <c r="BH835" s="13"/>
      <c r="BI835" s="13"/>
      <c r="BJ835" s="13"/>
      <c r="BK835" s="13"/>
      <c r="BL835" s="13"/>
      <c r="BM835" s="13"/>
      <c r="BN835" s="13"/>
      <c r="BO835" s="13"/>
      <c r="BP835" s="18"/>
    </row>
    <row r="836">
      <c r="L836" s="16"/>
      <c r="M836" s="17"/>
      <c r="BG836" s="10"/>
      <c r="BH836" s="13"/>
      <c r="BI836" s="13"/>
      <c r="BJ836" s="13"/>
      <c r="BK836" s="13"/>
      <c r="BL836" s="13"/>
      <c r="BM836" s="13"/>
      <c r="BN836" s="13"/>
      <c r="BO836" s="13"/>
      <c r="BP836" s="18"/>
    </row>
    <row r="837">
      <c r="L837" s="16"/>
      <c r="M837" s="17"/>
      <c r="BG837" s="10"/>
      <c r="BH837" s="13"/>
      <c r="BI837" s="13"/>
      <c r="BJ837" s="13"/>
      <c r="BK837" s="13"/>
      <c r="BL837" s="13"/>
      <c r="BM837" s="13"/>
      <c r="BN837" s="13"/>
      <c r="BO837" s="13"/>
      <c r="BP837" s="18"/>
    </row>
    <row r="838">
      <c r="L838" s="16"/>
      <c r="M838" s="17"/>
      <c r="BG838" s="10"/>
      <c r="BH838" s="13"/>
      <c r="BI838" s="13"/>
      <c r="BJ838" s="13"/>
      <c r="BK838" s="13"/>
      <c r="BL838" s="13"/>
      <c r="BM838" s="13"/>
      <c r="BN838" s="13"/>
      <c r="BO838" s="13"/>
      <c r="BP838" s="18"/>
    </row>
    <row r="839">
      <c r="L839" s="16"/>
      <c r="M839" s="17"/>
      <c r="BG839" s="10"/>
      <c r="BH839" s="13"/>
      <c r="BI839" s="13"/>
      <c r="BJ839" s="13"/>
      <c r="BK839" s="13"/>
      <c r="BL839" s="13"/>
      <c r="BM839" s="13"/>
      <c r="BN839" s="13"/>
      <c r="BO839" s="13"/>
      <c r="BP839" s="18"/>
    </row>
    <row r="840">
      <c r="L840" s="16"/>
      <c r="M840" s="17"/>
      <c r="BG840" s="10"/>
      <c r="BH840" s="13"/>
      <c r="BI840" s="13"/>
      <c r="BJ840" s="13"/>
      <c r="BK840" s="13"/>
      <c r="BL840" s="13"/>
      <c r="BM840" s="13"/>
      <c r="BN840" s="13"/>
      <c r="BO840" s="13"/>
      <c r="BP840" s="18"/>
    </row>
    <row r="841">
      <c r="L841" s="16"/>
      <c r="M841" s="17"/>
      <c r="BG841" s="10"/>
      <c r="BH841" s="13"/>
      <c r="BI841" s="13"/>
      <c r="BJ841" s="13"/>
      <c r="BK841" s="13"/>
      <c r="BL841" s="13"/>
      <c r="BM841" s="13"/>
      <c r="BN841" s="13"/>
      <c r="BO841" s="13"/>
      <c r="BP841" s="18"/>
    </row>
    <row r="842">
      <c r="L842" s="16"/>
      <c r="M842" s="17"/>
      <c r="BG842" s="10"/>
      <c r="BH842" s="13"/>
      <c r="BI842" s="13"/>
      <c r="BJ842" s="13"/>
      <c r="BK842" s="13"/>
      <c r="BL842" s="13"/>
      <c r="BM842" s="13"/>
      <c r="BN842" s="13"/>
      <c r="BO842" s="13"/>
      <c r="BP842" s="18"/>
    </row>
    <row r="843">
      <c r="L843" s="16"/>
      <c r="M843" s="17"/>
      <c r="BG843" s="10"/>
      <c r="BH843" s="13"/>
      <c r="BI843" s="13"/>
      <c r="BJ843" s="13"/>
      <c r="BK843" s="13"/>
      <c r="BL843" s="13"/>
      <c r="BM843" s="13"/>
      <c r="BN843" s="13"/>
      <c r="BO843" s="13"/>
      <c r="BP843" s="18"/>
    </row>
    <row r="844">
      <c r="L844" s="16"/>
      <c r="M844" s="17"/>
      <c r="BG844" s="10"/>
      <c r="BH844" s="13"/>
      <c r="BI844" s="13"/>
      <c r="BJ844" s="13"/>
      <c r="BK844" s="13"/>
      <c r="BL844" s="13"/>
      <c r="BM844" s="13"/>
      <c r="BN844" s="13"/>
      <c r="BO844" s="13"/>
      <c r="BP844" s="18"/>
    </row>
    <row r="845">
      <c r="L845" s="16"/>
      <c r="M845" s="17"/>
      <c r="BG845" s="10"/>
      <c r="BH845" s="13"/>
      <c r="BI845" s="13"/>
      <c r="BJ845" s="13"/>
      <c r="BK845" s="13"/>
      <c r="BL845" s="13"/>
      <c r="BM845" s="13"/>
      <c r="BN845" s="13"/>
      <c r="BO845" s="13"/>
      <c r="BP845" s="18"/>
    </row>
    <row r="846">
      <c r="L846" s="16"/>
      <c r="M846" s="17"/>
      <c r="BG846" s="10"/>
      <c r="BH846" s="13"/>
      <c r="BI846" s="13"/>
      <c r="BJ846" s="13"/>
      <c r="BK846" s="13"/>
      <c r="BL846" s="13"/>
      <c r="BM846" s="13"/>
      <c r="BN846" s="13"/>
      <c r="BO846" s="13"/>
      <c r="BP846" s="18"/>
    </row>
    <row r="847">
      <c r="L847" s="16"/>
      <c r="M847" s="17"/>
      <c r="BG847" s="10"/>
      <c r="BH847" s="13"/>
      <c r="BI847" s="13"/>
      <c r="BJ847" s="13"/>
      <c r="BK847" s="13"/>
      <c r="BL847" s="13"/>
      <c r="BM847" s="13"/>
      <c r="BN847" s="13"/>
      <c r="BO847" s="13"/>
      <c r="BP847" s="18"/>
    </row>
    <row r="848">
      <c r="L848" s="16"/>
      <c r="M848" s="17"/>
      <c r="BG848" s="10"/>
      <c r="BH848" s="13"/>
      <c r="BI848" s="13"/>
      <c r="BJ848" s="13"/>
      <c r="BK848" s="13"/>
      <c r="BL848" s="13"/>
      <c r="BM848" s="13"/>
      <c r="BN848" s="13"/>
      <c r="BO848" s="13"/>
      <c r="BP848" s="18"/>
    </row>
    <row r="849">
      <c r="L849" s="16"/>
      <c r="M849" s="17"/>
      <c r="BG849" s="10"/>
      <c r="BH849" s="13"/>
      <c r="BI849" s="13"/>
      <c r="BJ849" s="13"/>
      <c r="BK849" s="13"/>
      <c r="BL849" s="13"/>
      <c r="BM849" s="13"/>
      <c r="BN849" s="13"/>
      <c r="BO849" s="13"/>
      <c r="BP849" s="18"/>
    </row>
    <row r="850">
      <c r="L850" s="16"/>
      <c r="M850" s="17"/>
      <c r="BG850" s="10"/>
      <c r="BH850" s="13"/>
      <c r="BI850" s="13"/>
      <c r="BJ850" s="13"/>
      <c r="BK850" s="13"/>
      <c r="BL850" s="13"/>
      <c r="BM850" s="13"/>
      <c r="BN850" s="13"/>
      <c r="BO850" s="13"/>
      <c r="BP850" s="18"/>
    </row>
    <row r="851">
      <c r="L851" s="16"/>
      <c r="M851" s="17"/>
      <c r="BG851" s="10"/>
      <c r="BH851" s="13"/>
      <c r="BI851" s="13"/>
      <c r="BJ851" s="13"/>
      <c r="BK851" s="13"/>
      <c r="BL851" s="13"/>
      <c r="BM851" s="13"/>
      <c r="BN851" s="13"/>
      <c r="BO851" s="13"/>
      <c r="BP851" s="18"/>
    </row>
    <row r="852">
      <c r="L852" s="16"/>
      <c r="M852" s="17"/>
      <c r="BG852" s="10"/>
      <c r="BH852" s="13"/>
      <c r="BI852" s="13"/>
      <c r="BJ852" s="13"/>
      <c r="BK852" s="13"/>
      <c r="BL852" s="13"/>
      <c r="BM852" s="13"/>
      <c r="BN852" s="13"/>
      <c r="BO852" s="13"/>
      <c r="BP852" s="18"/>
    </row>
    <row r="853">
      <c r="L853" s="16"/>
      <c r="M853" s="17"/>
      <c r="BG853" s="10"/>
      <c r="BH853" s="13"/>
      <c r="BI853" s="13"/>
      <c r="BJ853" s="13"/>
      <c r="BK853" s="13"/>
      <c r="BL853" s="13"/>
      <c r="BM853" s="13"/>
      <c r="BN853" s="13"/>
      <c r="BO853" s="13"/>
      <c r="BP853" s="18"/>
    </row>
    <row r="854">
      <c r="L854" s="16"/>
      <c r="M854" s="17"/>
      <c r="BG854" s="10"/>
      <c r="BH854" s="13"/>
      <c r="BI854" s="13"/>
      <c r="BJ854" s="13"/>
      <c r="BK854" s="13"/>
      <c r="BL854" s="13"/>
      <c r="BM854" s="13"/>
      <c r="BN854" s="13"/>
      <c r="BO854" s="13"/>
      <c r="BP854" s="18"/>
    </row>
    <row r="855">
      <c r="L855" s="16"/>
      <c r="M855" s="17"/>
      <c r="BG855" s="10"/>
      <c r="BH855" s="13"/>
      <c r="BI855" s="13"/>
      <c r="BJ855" s="13"/>
      <c r="BK855" s="13"/>
      <c r="BL855" s="13"/>
      <c r="BM855" s="13"/>
      <c r="BN855" s="13"/>
      <c r="BO855" s="13"/>
      <c r="BP855" s="18"/>
    </row>
    <row r="856">
      <c r="L856" s="16"/>
      <c r="M856" s="17"/>
      <c r="BG856" s="10"/>
      <c r="BH856" s="13"/>
      <c r="BI856" s="13"/>
      <c r="BJ856" s="13"/>
      <c r="BK856" s="13"/>
      <c r="BL856" s="13"/>
      <c r="BM856" s="13"/>
      <c r="BN856" s="13"/>
      <c r="BO856" s="13"/>
      <c r="BP856" s="18"/>
    </row>
    <row r="857">
      <c r="L857" s="16"/>
      <c r="M857" s="17"/>
      <c r="BG857" s="10"/>
      <c r="BH857" s="13"/>
      <c r="BI857" s="13"/>
      <c r="BJ857" s="13"/>
      <c r="BK857" s="13"/>
      <c r="BL857" s="13"/>
      <c r="BM857" s="13"/>
      <c r="BN857" s="13"/>
      <c r="BO857" s="13"/>
      <c r="BP857" s="18"/>
    </row>
    <row r="858">
      <c r="L858" s="16"/>
      <c r="M858" s="17"/>
      <c r="BG858" s="10"/>
      <c r="BH858" s="13"/>
      <c r="BI858" s="13"/>
      <c r="BJ858" s="13"/>
      <c r="BK858" s="13"/>
      <c r="BL858" s="13"/>
      <c r="BM858" s="13"/>
      <c r="BN858" s="13"/>
      <c r="BO858" s="13"/>
      <c r="BP858" s="18"/>
    </row>
    <row r="859">
      <c r="L859" s="16"/>
      <c r="M859" s="17"/>
      <c r="BG859" s="10"/>
      <c r="BH859" s="13"/>
      <c r="BI859" s="13"/>
      <c r="BJ859" s="13"/>
      <c r="BK859" s="13"/>
      <c r="BL859" s="13"/>
      <c r="BM859" s="13"/>
      <c r="BN859" s="13"/>
      <c r="BO859" s="13"/>
      <c r="BP859" s="18"/>
    </row>
    <row r="860">
      <c r="L860" s="16"/>
      <c r="M860" s="17"/>
      <c r="BG860" s="10"/>
      <c r="BH860" s="13"/>
      <c r="BI860" s="13"/>
      <c r="BJ860" s="13"/>
      <c r="BK860" s="13"/>
      <c r="BL860" s="13"/>
      <c r="BM860" s="13"/>
      <c r="BN860" s="13"/>
      <c r="BO860" s="13"/>
      <c r="BP860" s="18"/>
    </row>
    <row r="861">
      <c r="L861" s="16"/>
      <c r="M861" s="17"/>
      <c r="BG861" s="10"/>
      <c r="BH861" s="13"/>
      <c r="BI861" s="13"/>
      <c r="BJ861" s="13"/>
      <c r="BK861" s="13"/>
      <c r="BL861" s="13"/>
      <c r="BM861" s="13"/>
      <c r="BN861" s="13"/>
      <c r="BO861" s="13"/>
      <c r="BP861" s="18"/>
    </row>
    <row r="862">
      <c r="L862" s="16"/>
      <c r="M862" s="17"/>
      <c r="BG862" s="10"/>
      <c r="BH862" s="13"/>
      <c r="BI862" s="13"/>
      <c r="BJ862" s="13"/>
      <c r="BK862" s="13"/>
      <c r="BL862" s="13"/>
      <c r="BM862" s="13"/>
      <c r="BN862" s="13"/>
      <c r="BO862" s="13"/>
      <c r="BP862" s="18"/>
    </row>
    <row r="863">
      <c r="L863" s="16"/>
      <c r="M863" s="17"/>
      <c r="BG863" s="10"/>
      <c r="BH863" s="13"/>
      <c r="BI863" s="13"/>
      <c r="BJ863" s="13"/>
      <c r="BK863" s="13"/>
      <c r="BL863" s="13"/>
      <c r="BM863" s="13"/>
      <c r="BN863" s="13"/>
      <c r="BO863" s="13"/>
      <c r="BP863" s="18"/>
    </row>
    <row r="864">
      <c r="L864" s="16"/>
      <c r="M864" s="17"/>
      <c r="BG864" s="10"/>
      <c r="BH864" s="13"/>
      <c r="BI864" s="13"/>
      <c r="BJ864" s="13"/>
      <c r="BK864" s="13"/>
      <c r="BL864" s="13"/>
      <c r="BM864" s="13"/>
      <c r="BN864" s="13"/>
      <c r="BO864" s="13"/>
      <c r="BP864" s="18"/>
    </row>
    <row r="865">
      <c r="L865" s="16"/>
      <c r="M865" s="17"/>
      <c r="BG865" s="10"/>
      <c r="BH865" s="13"/>
      <c r="BI865" s="13"/>
      <c r="BJ865" s="13"/>
      <c r="BK865" s="13"/>
      <c r="BL865" s="13"/>
      <c r="BM865" s="13"/>
      <c r="BN865" s="13"/>
      <c r="BO865" s="13"/>
      <c r="BP865" s="18"/>
    </row>
    <row r="866">
      <c r="L866" s="16"/>
      <c r="M866" s="17"/>
      <c r="BG866" s="10"/>
      <c r="BH866" s="13"/>
      <c r="BI866" s="13"/>
      <c r="BJ866" s="13"/>
      <c r="BK866" s="13"/>
      <c r="BL866" s="13"/>
      <c r="BM866" s="13"/>
      <c r="BN866" s="13"/>
      <c r="BO866" s="13"/>
      <c r="BP866" s="18"/>
    </row>
    <row r="867">
      <c r="L867" s="16"/>
      <c r="M867" s="17"/>
      <c r="BG867" s="10"/>
      <c r="BH867" s="13"/>
      <c r="BI867" s="13"/>
      <c r="BJ867" s="13"/>
      <c r="BK867" s="13"/>
      <c r="BL867" s="13"/>
      <c r="BM867" s="13"/>
      <c r="BN867" s="13"/>
      <c r="BO867" s="13"/>
      <c r="BP867" s="18"/>
    </row>
    <row r="868">
      <c r="L868" s="16"/>
      <c r="M868" s="17"/>
      <c r="BG868" s="10"/>
      <c r="BH868" s="13"/>
      <c r="BI868" s="13"/>
      <c r="BJ868" s="13"/>
      <c r="BK868" s="13"/>
      <c r="BL868" s="13"/>
      <c r="BM868" s="13"/>
      <c r="BN868" s="13"/>
      <c r="BO868" s="13"/>
      <c r="BP868" s="18"/>
    </row>
    <row r="869">
      <c r="L869" s="16"/>
      <c r="M869" s="17"/>
      <c r="BG869" s="10"/>
      <c r="BH869" s="13"/>
      <c r="BI869" s="13"/>
      <c r="BJ869" s="13"/>
      <c r="BK869" s="13"/>
      <c r="BL869" s="13"/>
      <c r="BM869" s="13"/>
      <c r="BN869" s="13"/>
      <c r="BO869" s="13"/>
      <c r="BP869" s="18"/>
    </row>
    <row r="870">
      <c r="L870" s="16"/>
      <c r="M870" s="17"/>
      <c r="BG870" s="10"/>
      <c r="BH870" s="13"/>
      <c r="BI870" s="13"/>
      <c r="BJ870" s="13"/>
      <c r="BK870" s="13"/>
      <c r="BL870" s="13"/>
      <c r="BM870" s="13"/>
      <c r="BN870" s="13"/>
      <c r="BO870" s="13"/>
      <c r="BP870" s="18"/>
    </row>
    <row r="871">
      <c r="L871" s="16"/>
      <c r="M871" s="17"/>
      <c r="BG871" s="10"/>
      <c r="BH871" s="13"/>
      <c r="BI871" s="13"/>
      <c r="BJ871" s="13"/>
      <c r="BK871" s="13"/>
      <c r="BL871" s="13"/>
      <c r="BM871" s="13"/>
      <c r="BN871" s="13"/>
      <c r="BO871" s="13"/>
      <c r="BP871" s="18"/>
    </row>
    <row r="872">
      <c r="L872" s="16"/>
      <c r="M872" s="17"/>
      <c r="BG872" s="10"/>
      <c r="BH872" s="13"/>
      <c r="BI872" s="13"/>
      <c r="BJ872" s="13"/>
      <c r="BK872" s="13"/>
      <c r="BL872" s="13"/>
      <c r="BM872" s="13"/>
      <c r="BN872" s="13"/>
      <c r="BO872" s="13"/>
      <c r="BP872" s="18"/>
    </row>
    <row r="873">
      <c r="L873" s="16"/>
      <c r="M873" s="17"/>
      <c r="BG873" s="10"/>
      <c r="BH873" s="13"/>
      <c r="BI873" s="13"/>
      <c r="BJ873" s="13"/>
      <c r="BK873" s="13"/>
      <c r="BL873" s="13"/>
      <c r="BM873" s="13"/>
      <c r="BN873" s="13"/>
      <c r="BO873" s="13"/>
      <c r="BP873" s="18"/>
    </row>
    <row r="874">
      <c r="L874" s="16"/>
      <c r="M874" s="17"/>
      <c r="BG874" s="10"/>
      <c r="BH874" s="13"/>
      <c r="BI874" s="13"/>
      <c r="BJ874" s="13"/>
      <c r="BK874" s="13"/>
      <c r="BL874" s="13"/>
      <c r="BM874" s="13"/>
      <c r="BN874" s="13"/>
      <c r="BO874" s="13"/>
      <c r="BP874" s="18"/>
    </row>
    <row r="875">
      <c r="L875" s="16"/>
      <c r="M875" s="17"/>
      <c r="BG875" s="10"/>
      <c r="BH875" s="13"/>
      <c r="BI875" s="13"/>
      <c r="BJ875" s="13"/>
      <c r="BK875" s="13"/>
      <c r="BL875" s="13"/>
      <c r="BM875" s="13"/>
      <c r="BN875" s="13"/>
      <c r="BO875" s="13"/>
      <c r="BP875" s="18"/>
    </row>
    <row r="876">
      <c r="L876" s="16"/>
      <c r="M876" s="17"/>
      <c r="BG876" s="10"/>
      <c r="BH876" s="13"/>
      <c r="BI876" s="13"/>
      <c r="BJ876" s="13"/>
      <c r="BK876" s="13"/>
      <c r="BL876" s="13"/>
      <c r="BM876" s="13"/>
      <c r="BN876" s="13"/>
      <c r="BO876" s="13"/>
      <c r="BP876" s="18"/>
    </row>
    <row r="877">
      <c r="L877" s="16"/>
      <c r="M877" s="17"/>
      <c r="BG877" s="10"/>
      <c r="BH877" s="13"/>
      <c r="BI877" s="13"/>
      <c r="BJ877" s="13"/>
      <c r="BK877" s="13"/>
      <c r="BL877" s="13"/>
      <c r="BM877" s="13"/>
      <c r="BN877" s="13"/>
      <c r="BO877" s="13"/>
      <c r="BP877" s="18"/>
    </row>
    <row r="878">
      <c r="L878" s="16"/>
      <c r="M878" s="17"/>
      <c r="BG878" s="10"/>
      <c r="BH878" s="13"/>
      <c r="BI878" s="13"/>
      <c r="BJ878" s="13"/>
      <c r="BK878" s="13"/>
      <c r="BL878" s="13"/>
      <c r="BM878" s="13"/>
      <c r="BN878" s="13"/>
      <c r="BO878" s="13"/>
      <c r="BP878" s="18"/>
    </row>
    <row r="879">
      <c r="L879" s="16"/>
      <c r="M879" s="17"/>
      <c r="BG879" s="10"/>
      <c r="BH879" s="13"/>
      <c r="BI879" s="13"/>
      <c r="BJ879" s="13"/>
      <c r="BK879" s="13"/>
      <c r="BL879" s="13"/>
      <c r="BM879" s="13"/>
      <c r="BN879" s="13"/>
      <c r="BO879" s="13"/>
      <c r="BP879" s="18"/>
    </row>
    <row r="880">
      <c r="L880" s="16"/>
      <c r="M880" s="17"/>
      <c r="BG880" s="10"/>
      <c r="BH880" s="13"/>
      <c r="BI880" s="13"/>
      <c r="BJ880" s="13"/>
      <c r="BK880" s="13"/>
      <c r="BL880" s="13"/>
      <c r="BM880" s="13"/>
      <c r="BN880" s="13"/>
      <c r="BO880" s="13"/>
      <c r="BP880" s="18"/>
    </row>
    <row r="881">
      <c r="L881" s="16"/>
      <c r="M881" s="17"/>
      <c r="BG881" s="10"/>
      <c r="BH881" s="13"/>
      <c r="BI881" s="13"/>
      <c r="BJ881" s="13"/>
      <c r="BK881" s="13"/>
      <c r="BL881" s="13"/>
      <c r="BM881" s="13"/>
      <c r="BN881" s="13"/>
      <c r="BO881" s="13"/>
      <c r="BP881" s="18"/>
    </row>
    <row r="882">
      <c r="L882" s="16"/>
      <c r="M882" s="17"/>
      <c r="BG882" s="10"/>
      <c r="BH882" s="13"/>
      <c r="BI882" s="13"/>
      <c r="BJ882" s="13"/>
      <c r="BK882" s="13"/>
      <c r="BL882" s="13"/>
      <c r="BM882" s="13"/>
      <c r="BN882" s="13"/>
      <c r="BO882" s="13"/>
      <c r="BP882" s="18"/>
    </row>
    <row r="883">
      <c r="L883" s="16"/>
      <c r="M883" s="17"/>
      <c r="BG883" s="10"/>
      <c r="BH883" s="13"/>
      <c r="BI883" s="13"/>
      <c r="BJ883" s="13"/>
      <c r="BK883" s="13"/>
      <c r="BL883" s="13"/>
      <c r="BM883" s="13"/>
      <c r="BN883" s="13"/>
      <c r="BO883" s="13"/>
      <c r="BP883" s="18"/>
    </row>
    <row r="884">
      <c r="L884" s="16"/>
      <c r="M884" s="17"/>
      <c r="BG884" s="10"/>
      <c r="BH884" s="13"/>
      <c r="BI884" s="13"/>
      <c r="BJ884" s="13"/>
      <c r="BK884" s="13"/>
      <c r="BL884" s="13"/>
      <c r="BM884" s="13"/>
      <c r="BN884" s="13"/>
      <c r="BO884" s="13"/>
      <c r="BP884" s="18"/>
    </row>
    <row r="885">
      <c r="L885" s="16"/>
      <c r="M885" s="17"/>
      <c r="BG885" s="10"/>
      <c r="BH885" s="13"/>
      <c r="BI885" s="13"/>
      <c r="BJ885" s="13"/>
      <c r="BK885" s="13"/>
      <c r="BL885" s="13"/>
      <c r="BM885" s="13"/>
      <c r="BN885" s="13"/>
      <c r="BO885" s="13"/>
      <c r="BP885" s="18"/>
    </row>
    <row r="886">
      <c r="L886" s="16"/>
      <c r="M886" s="17"/>
      <c r="BG886" s="10"/>
      <c r="BH886" s="13"/>
      <c r="BI886" s="13"/>
      <c r="BJ886" s="13"/>
      <c r="BK886" s="13"/>
      <c r="BL886" s="13"/>
      <c r="BM886" s="13"/>
      <c r="BN886" s="13"/>
      <c r="BO886" s="13"/>
      <c r="BP886" s="18"/>
    </row>
    <row r="887">
      <c r="L887" s="16"/>
      <c r="M887" s="17"/>
      <c r="BG887" s="10"/>
      <c r="BH887" s="13"/>
      <c r="BI887" s="13"/>
      <c r="BJ887" s="13"/>
      <c r="BK887" s="13"/>
      <c r="BL887" s="13"/>
      <c r="BM887" s="13"/>
      <c r="BN887" s="13"/>
      <c r="BO887" s="13"/>
      <c r="BP887" s="18"/>
    </row>
    <row r="888">
      <c r="L888" s="16"/>
      <c r="M888" s="17"/>
      <c r="BG888" s="10"/>
      <c r="BH888" s="13"/>
      <c r="BI888" s="13"/>
      <c r="BJ888" s="13"/>
      <c r="BK888" s="13"/>
      <c r="BL888" s="13"/>
      <c r="BM888" s="13"/>
      <c r="BN888" s="13"/>
      <c r="BO888" s="13"/>
      <c r="BP888" s="18"/>
    </row>
    <row r="889">
      <c r="L889" s="16"/>
      <c r="M889" s="17"/>
      <c r="BG889" s="10"/>
      <c r="BH889" s="13"/>
      <c r="BI889" s="13"/>
      <c r="BJ889" s="13"/>
      <c r="BK889" s="13"/>
      <c r="BL889" s="13"/>
      <c r="BM889" s="13"/>
      <c r="BN889" s="13"/>
      <c r="BO889" s="13"/>
      <c r="BP889" s="18"/>
    </row>
    <row r="890">
      <c r="L890" s="16"/>
      <c r="M890" s="17"/>
      <c r="BG890" s="10"/>
      <c r="BH890" s="13"/>
      <c r="BI890" s="13"/>
      <c r="BJ890" s="13"/>
      <c r="BK890" s="13"/>
      <c r="BL890" s="13"/>
      <c r="BM890" s="13"/>
      <c r="BN890" s="13"/>
      <c r="BO890" s="13"/>
      <c r="BP890" s="18"/>
    </row>
    <row r="891">
      <c r="L891" s="16"/>
      <c r="M891" s="17"/>
      <c r="BG891" s="10"/>
      <c r="BH891" s="13"/>
      <c r="BI891" s="13"/>
      <c r="BJ891" s="13"/>
      <c r="BK891" s="13"/>
      <c r="BL891" s="13"/>
      <c r="BM891" s="13"/>
      <c r="BN891" s="13"/>
      <c r="BO891" s="13"/>
      <c r="BP891" s="18"/>
    </row>
    <row r="892">
      <c r="L892" s="16"/>
      <c r="M892" s="17"/>
      <c r="BG892" s="10"/>
      <c r="BH892" s="13"/>
      <c r="BI892" s="13"/>
      <c r="BJ892" s="13"/>
      <c r="BK892" s="13"/>
      <c r="BL892" s="13"/>
      <c r="BM892" s="13"/>
      <c r="BN892" s="13"/>
      <c r="BO892" s="13"/>
      <c r="BP892" s="18"/>
    </row>
    <row r="893">
      <c r="L893" s="16"/>
      <c r="M893" s="17"/>
      <c r="BG893" s="10"/>
      <c r="BH893" s="13"/>
      <c r="BI893" s="13"/>
      <c r="BJ893" s="13"/>
      <c r="BK893" s="13"/>
      <c r="BL893" s="13"/>
      <c r="BM893" s="13"/>
      <c r="BN893" s="13"/>
      <c r="BO893" s="13"/>
      <c r="BP893" s="18"/>
    </row>
    <row r="894">
      <c r="L894" s="16"/>
      <c r="M894" s="17"/>
      <c r="BG894" s="10"/>
      <c r="BH894" s="13"/>
      <c r="BI894" s="13"/>
      <c r="BJ894" s="13"/>
      <c r="BK894" s="13"/>
      <c r="BL894" s="13"/>
      <c r="BM894" s="13"/>
      <c r="BN894" s="13"/>
      <c r="BO894" s="13"/>
      <c r="BP894" s="18"/>
    </row>
    <row r="895">
      <c r="L895" s="16"/>
      <c r="M895" s="17"/>
      <c r="BG895" s="10"/>
      <c r="BH895" s="13"/>
      <c r="BI895" s="13"/>
      <c r="BJ895" s="13"/>
      <c r="BK895" s="13"/>
      <c r="BL895" s="13"/>
      <c r="BM895" s="13"/>
      <c r="BN895" s="13"/>
      <c r="BO895" s="13"/>
      <c r="BP895" s="18"/>
    </row>
    <row r="896">
      <c r="L896" s="16"/>
      <c r="M896" s="17"/>
      <c r="BG896" s="10"/>
      <c r="BH896" s="13"/>
      <c r="BI896" s="13"/>
      <c r="BJ896" s="13"/>
      <c r="BK896" s="13"/>
      <c r="BL896" s="13"/>
      <c r="BM896" s="13"/>
      <c r="BN896" s="13"/>
      <c r="BO896" s="13"/>
      <c r="BP896" s="18"/>
    </row>
    <row r="897">
      <c r="L897" s="16"/>
      <c r="M897" s="17"/>
      <c r="BG897" s="10"/>
      <c r="BH897" s="13"/>
      <c r="BI897" s="13"/>
      <c r="BJ897" s="13"/>
      <c r="BK897" s="13"/>
      <c r="BL897" s="13"/>
      <c r="BM897" s="13"/>
      <c r="BN897" s="13"/>
      <c r="BO897" s="13"/>
      <c r="BP897" s="18"/>
    </row>
    <row r="898">
      <c r="L898" s="16"/>
      <c r="M898" s="17"/>
      <c r="BG898" s="10"/>
      <c r="BH898" s="13"/>
      <c r="BI898" s="13"/>
      <c r="BJ898" s="13"/>
      <c r="BK898" s="13"/>
      <c r="BL898" s="13"/>
      <c r="BM898" s="13"/>
      <c r="BN898" s="13"/>
      <c r="BO898" s="13"/>
      <c r="BP898" s="18"/>
    </row>
    <row r="899">
      <c r="L899" s="16"/>
      <c r="M899" s="17"/>
      <c r="BG899" s="10"/>
      <c r="BH899" s="13"/>
      <c r="BI899" s="13"/>
      <c r="BJ899" s="13"/>
      <c r="BK899" s="13"/>
      <c r="BL899" s="13"/>
      <c r="BM899" s="13"/>
      <c r="BN899" s="13"/>
      <c r="BO899" s="13"/>
      <c r="BP899" s="18"/>
    </row>
    <row r="900">
      <c r="L900" s="16"/>
      <c r="M900" s="17"/>
      <c r="BG900" s="10"/>
      <c r="BH900" s="13"/>
      <c r="BI900" s="13"/>
      <c r="BJ900" s="13"/>
      <c r="BK900" s="13"/>
      <c r="BL900" s="13"/>
      <c r="BM900" s="13"/>
      <c r="BN900" s="13"/>
      <c r="BO900" s="13"/>
      <c r="BP900" s="18"/>
    </row>
    <row r="901">
      <c r="L901" s="16"/>
      <c r="M901" s="17"/>
      <c r="BG901" s="10"/>
      <c r="BH901" s="13"/>
      <c r="BI901" s="13"/>
      <c r="BJ901" s="13"/>
      <c r="BK901" s="13"/>
      <c r="BL901" s="13"/>
      <c r="BM901" s="13"/>
      <c r="BN901" s="13"/>
      <c r="BO901" s="13"/>
      <c r="BP901" s="18"/>
    </row>
    <row r="902">
      <c r="L902" s="16"/>
      <c r="M902" s="17"/>
      <c r="BG902" s="10"/>
      <c r="BH902" s="13"/>
      <c r="BI902" s="13"/>
      <c r="BJ902" s="13"/>
      <c r="BK902" s="13"/>
      <c r="BL902" s="13"/>
      <c r="BM902" s="13"/>
      <c r="BN902" s="13"/>
      <c r="BO902" s="13"/>
      <c r="BP902" s="18"/>
    </row>
    <row r="903">
      <c r="L903" s="16"/>
      <c r="M903" s="17"/>
      <c r="BG903" s="10"/>
      <c r="BH903" s="13"/>
      <c r="BI903" s="13"/>
      <c r="BJ903" s="13"/>
      <c r="BK903" s="13"/>
      <c r="BL903" s="13"/>
      <c r="BM903" s="13"/>
      <c r="BN903" s="13"/>
      <c r="BO903" s="13"/>
      <c r="BP903" s="18"/>
    </row>
    <row r="904">
      <c r="L904" s="16"/>
      <c r="M904" s="17"/>
      <c r="BG904" s="10"/>
      <c r="BH904" s="13"/>
      <c r="BI904" s="13"/>
      <c r="BJ904" s="13"/>
      <c r="BK904" s="13"/>
      <c r="BL904" s="13"/>
      <c r="BM904" s="13"/>
      <c r="BN904" s="13"/>
      <c r="BO904" s="13"/>
      <c r="BP904" s="18"/>
    </row>
    <row r="905">
      <c r="L905" s="16"/>
      <c r="M905" s="17"/>
      <c r="BG905" s="10"/>
      <c r="BH905" s="13"/>
      <c r="BI905" s="13"/>
      <c r="BJ905" s="13"/>
      <c r="BK905" s="13"/>
      <c r="BL905" s="13"/>
      <c r="BM905" s="13"/>
      <c r="BN905" s="13"/>
      <c r="BO905" s="13"/>
      <c r="BP905" s="18"/>
    </row>
    <row r="906">
      <c r="L906" s="16"/>
      <c r="M906" s="17"/>
      <c r="BG906" s="10"/>
      <c r="BH906" s="13"/>
      <c r="BI906" s="13"/>
      <c r="BJ906" s="13"/>
      <c r="BK906" s="13"/>
      <c r="BL906" s="13"/>
      <c r="BM906" s="13"/>
      <c r="BN906" s="13"/>
      <c r="BO906" s="13"/>
      <c r="BP906" s="18"/>
    </row>
    <row r="907">
      <c r="L907" s="16"/>
      <c r="M907" s="17"/>
      <c r="BG907" s="10"/>
      <c r="BH907" s="13"/>
      <c r="BI907" s="13"/>
      <c r="BJ907" s="13"/>
      <c r="BK907" s="13"/>
      <c r="BL907" s="13"/>
      <c r="BM907" s="13"/>
      <c r="BN907" s="13"/>
      <c r="BO907" s="13"/>
      <c r="BP907" s="18"/>
    </row>
    <row r="908">
      <c r="L908" s="16"/>
      <c r="M908" s="17"/>
      <c r="BG908" s="10"/>
      <c r="BH908" s="13"/>
      <c r="BI908" s="13"/>
      <c r="BJ908" s="13"/>
      <c r="BK908" s="13"/>
      <c r="BL908" s="13"/>
      <c r="BM908" s="13"/>
      <c r="BN908" s="13"/>
      <c r="BO908" s="13"/>
      <c r="BP908" s="18"/>
    </row>
    <row r="909">
      <c r="L909" s="16"/>
      <c r="M909" s="17"/>
      <c r="BG909" s="10"/>
      <c r="BH909" s="13"/>
      <c r="BI909" s="13"/>
      <c r="BJ909" s="13"/>
      <c r="BK909" s="13"/>
      <c r="BL909" s="13"/>
      <c r="BM909" s="13"/>
      <c r="BN909" s="13"/>
      <c r="BO909" s="13"/>
      <c r="BP909" s="18"/>
    </row>
    <row r="910">
      <c r="L910" s="16"/>
      <c r="M910" s="17"/>
      <c r="BG910" s="10"/>
      <c r="BH910" s="13"/>
      <c r="BI910" s="13"/>
      <c r="BJ910" s="13"/>
      <c r="BK910" s="13"/>
      <c r="BL910" s="13"/>
      <c r="BM910" s="13"/>
      <c r="BN910" s="13"/>
      <c r="BO910" s="13"/>
      <c r="BP910" s="18"/>
    </row>
    <row r="911">
      <c r="L911" s="16"/>
      <c r="M911" s="17"/>
      <c r="BG911" s="10"/>
      <c r="BH911" s="13"/>
      <c r="BI911" s="13"/>
      <c r="BJ911" s="13"/>
      <c r="BK911" s="13"/>
      <c r="BL911" s="13"/>
      <c r="BM911" s="13"/>
      <c r="BN911" s="13"/>
      <c r="BO911" s="13"/>
      <c r="BP911" s="18"/>
    </row>
    <row r="912">
      <c r="L912" s="16"/>
      <c r="M912" s="17"/>
      <c r="BG912" s="10"/>
      <c r="BH912" s="13"/>
      <c r="BI912" s="13"/>
      <c r="BJ912" s="13"/>
      <c r="BK912" s="13"/>
      <c r="BL912" s="13"/>
      <c r="BM912" s="13"/>
      <c r="BN912" s="13"/>
      <c r="BO912" s="13"/>
      <c r="BP912" s="18"/>
    </row>
    <row r="913">
      <c r="L913" s="16"/>
      <c r="M913" s="17"/>
      <c r="BG913" s="10"/>
      <c r="BH913" s="13"/>
      <c r="BI913" s="13"/>
      <c r="BJ913" s="13"/>
      <c r="BK913" s="13"/>
      <c r="BL913" s="13"/>
      <c r="BM913" s="13"/>
      <c r="BN913" s="13"/>
      <c r="BO913" s="13"/>
      <c r="BP913" s="18"/>
    </row>
    <row r="914">
      <c r="L914" s="16"/>
      <c r="M914" s="17"/>
      <c r="BG914" s="10"/>
      <c r="BH914" s="13"/>
      <c r="BI914" s="13"/>
      <c r="BJ914" s="13"/>
      <c r="BK914" s="13"/>
      <c r="BL914" s="13"/>
      <c r="BM914" s="13"/>
      <c r="BN914" s="13"/>
      <c r="BO914" s="13"/>
      <c r="BP914" s="18"/>
    </row>
    <row r="915">
      <c r="L915" s="16"/>
      <c r="M915" s="17"/>
      <c r="BG915" s="10"/>
      <c r="BH915" s="13"/>
      <c r="BI915" s="13"/>
      <c r="BJ915" s="13"/>
      <c r="BK915" s="13"/>
      <c r="BL915" s="13"/>
      <c r="BM915" s="13"/>
      <c r="BN915" s="13"/>
      <c r="BO915" s="13"/>
      <c r="BP915" s="18"/>
    </row>
    <row r="916">
      <c r="L916" s="16"/>
      <c r="M916" s="17"/>
      <c r="BG916" s="10"/>
      <c r="BH916" s="13"/>
      <c r="BI916" s="13"/>
      <c r="BJ916" s="13"/>
      <c r="BK916" s="13"/>
      <c r="BL916" s="13"/>
      <c r="BM916" s="13"/>
      <c r="BN916" s="13"/>
      <c r="BO916" s="13"/>
      <c r="BP916" s="18"/>
    </row>
    <row r="917">
      <c r="L917" s="16"/>
      <c r="M917" s="17"/>
      <c r="BG917" s="10"/>
      <c r="BH917" s="13"/>
      <c r="BI917" s="13"/>
      <c r="BJ917" s="13"/>
      <c r="BK917" s="13"/>
      <c r="BL917" s="13"/>
      <c r="BM917" s="13"/>
      <c r="BN917" s="13"/>
      <c r="BO917" s="13"/>
      <c r="BP917" s="18"/>
    </row>
    <row r="918">
      <c r="L918" s="16"/>
      <c r="M918" s="17"/>
      <c r="BG918" s="10"/>
      <c r="BH918" s="13"/>
      <c r="BI918" s="13"/>
      <c r="BJ918" s="13"/>
      <c r="BK918" s="13"/>
      <c r="BL918" s="13"/>
      <c r="BM918" s="13"/>
      <c r="BN918" s="13"/>
      <c r="BO918" s="13"/>
      <c r="BP918" s="18"/>
    </row>
    <row r="919">
      <c r="L919" s="16"/>
      <c r="M919" s="17"/>
      <c r="BG919" s="10"/>
      <c r="BH919" s="13"/>
      <c r="BI919" s="13"/>
      <c r="BJ919" s="13"/>
      <c r="BK919" s="13"/>
      <c r="BL919" s="13"/>
      <c r="BM919" s="13"/>
      <c r="BN919" s="13"/>
      <c r="BO919" s="13"/>
      <c r="BP919" s="18"/>
    </row>
    <row r="920">
      <c r="L920" s="16"/>
      <c r="M920" s="17"/>
      <c r="BG920" s="10"/>
      <c r="BH920" s="13"/>
      <c r="BI920" s="13"/>
      <c r="BJ920" s="13"/>
      <c r="BK920" s="13"/>
      <c r="BL920" s="13"/>
      <c r="BM920" s="13"/>
      <c r="BN920" s="13"/>
      <c r="BO920" s="13"/>
      <c r="BP920" s="18"/>
    </row>
    <row r="921">
      <c r="L921" s="16"/>
      <c r="M921" s="17"/>
      <c r="BG921" s="10"/>
      <c r="BH921" s="13"/>
      <c r="BI921" s="13"/>
      <c r="BJ921" s="13"/>
      <c r="BK921" s="13"/>
      <c r="BL921" s="13"/>
      <c r="BM921" s="13"/>
      <c r="BN921" s="13"/>
      <c r="BO921" s="13"/>
      <c r="BP921" s="18"/>
    </row>
    <row r="922">
      <c r="L922" s="16"/>
      <c r="M922" s="17"/>
      <c r="BG922" s="10"/>
      <c r="BH922" s="13"/>
      <c r="BI922" s="13"/>
      <c r="BJ922" s="13"/>
      <c r="BK922" s="13"/>
      <c r="BL922" s="13"/>
      <c r="BM922" s="13"/>
      <c r="BN922" s="13"/>
      <c r="BO922" s="13"/>
      <c r="BP922" s="18"/>
    </row>
    <row r="923">
      <c r="L923" s="16"/>
      <c r="M923" s="17"/>
      <c r="BG923" s="10"/>
      <c r="BH923" s="13"/>
      <c r="BI923" s="13"/>
      <c r="BJ923" s="13"/>
      <c r="BK923" s="13"/>
      <c r="BL923" s="13"/>
      <c r="BM923" s="13"/>
      <c r="BN923" s="13"/>
      <c r="BO923" s="13"/>
      <c r="BP923" s="18"/>
    </row>
    <row r="924">
      <c r="L924" s="16"/>
      <c r="M924" s="17"/>
      <c r="BG924" s="10"/>
      <c r="BH924" s="13"/>
      <c r="BI924" s="13"/>
      <c r="BJ924" s="13"/>
      <c r="BK924" s="13"/>
      <c r="BL924" s="13"/>
      <c r="BM924" s="13"/>
      <c r="BN924" s="13"/>
      <c r="BO924" s="13"/>
      <c r="BP924" s="18"/>
    </row>
    <row r="925">
      <c r="L925" s="16"/>
      <c r="M925" s="17"/>
      <c r="BG925" s="10"/>
      <c r="BH925" s="13"/>
      <c r="BI925" s="13"/>
      <c r="BJ925" s="13"/>
      <c r="BK925" s="13"/>
      <c r="BL925" s="13"/>
      <c r="BM925" s="13"/>
      <c r="BN925" s="13"/>
      <c r="BO925" s="13"/>
      <c r="BP925" s="18"/>
    </row>
    <row r="926">
      <c r="L926" s="16"/>
      <c r="M926" s="17"/>
      <c r="BG926" s="10"/>
      <c r="BH926" s="13"/>
      <c r="BI926" s="13"/>
      <c r="BJ926" s="13"/>
      <c r="BK926" s="13"/>
      <c r="BL926" s="13"/>
      <c r="BM926" s="13"/>
      <c r="BN926" s="13"/>
      <c r="BO926" s="13"/>
      <c r="BP926" s="18"/>
    </row>
    <row r="927">
      <c r="L927" s="16"/>
      <c r="M927" s="17"/>
      <c r="BG927" s="10"/>
      <c r="BH927" s="13"/>
      <c r="BI927" s="13"/>
      <c r="BJ927" s="13"/>
      <c r="BK927" s="13"/>
      <c r="BL927" s="13"/>
      <c r="BM927" s="13"/>
      <c r="BN927" s="13"/>
      <c r="BO927" s="13"/>
      <c r="BP927" s="18"/>
    </row>
    <row r="928">
      <c r="L928" s="16"/>
      <c r="M928" s="17"/>
      <c r="BG928" s="10"/>
      <c r="BH928" s="13"/>
      <c r="BI928" s="13"/>
      <c r="BJ928" s="13"/>
      <c r="BK928" s="13"/>
      <c r="BL928" s="13"/>
      <c r="BM928" s="13"/>
      <c r="BN928" s="13"/>
      <c r="BO928" s="13"/>
      <c r="BP928" s="18"/>
    </row>
    <row r="929">
      <c r="L929" s="16"/>
      <c r="M929" s="17"/>
      <c r="BG929" s="10"/>
      <c r="BH929" s="13"/>
      <c r="BI929" s="13"/>
      <c r="BJ929" s="13"/>
      <c r="BK929" s="13"/>
      <c r="BL929" s="13"/>
      <c r="BM929" s="13"/>
      <c r="BN929" s="13"/>
      <c r="BO929" s="13"/>
      <c r="BP929" s="18"/>
    </row>
    <row r="930">
      <c r="L930" s="16"/>
      <c r="M930" s="17"/>
      <c r="BG930" s="10"/>
      <c r="BH930" s="13"/>
      <c r="BI930" s="13"/>
      <c r="BJ930" s="13"/>
      <c r="BK930" s="13"/>
      <c r="BL930" s="13"/>
      <c r="BM930" s="13"/>
      <c r="BN930" s="13"/>
      <c r="BO930" s="13"/>
      <c r="BP930" s="18"/>
    </row>
    <row r="931">
      <c r="L931" s="16"/>
      <c r="M931" s="17"/>
      <c r="BG931" s="10"/>
      <c r="BH931" s="13"/>
      <c r="BI931" s="13"/>
      <c r="BJ931" s="13"/>
      <c r="BK931" s="13"/>
      <c r="BL931" s="13"/>
      <c r="BM931" s="13"/>
      <c r="BN931" s="13"/>
      <c r="BO931" s="13"/>
      <c r="BP931" s="18"/>
    </row>
    <row r="932">
      <c r="L932" s="16"/>
      <c r="M932" s="17"/>
      <c r="BG932" s="10"/>
      <c r="BH932" s="13"/>
      <c r="BI932" s="13"/>
      <c r="BJ932" s="13"/>
      <c r="BK932" s="13"/>
      <c r="BL932" s="13"/>
      <c r="BM932" s="13"/>
      <c r="BN932" s="13"/>
      <c r="BO932" s="13"/>
      <c r="BP932" s="18"/>
    </row>
    <row r="933">
      <c r="L933" s="16"/>
      <c r="M933" s="17"/>
      <c r="BG933" s="10"/>
      <c r="BH933" s="13"/>
      <c r="BI933" s="13"/>
      <c r="BJ933" s="13"/>
      <c r="BK933" s="13"/>
      <c r="BL933" s="13"/>
      <c r="BM933" s="13"/>
      <c r="BN933" s="13"/>
      <c r="BO933" s="13"/>
      <c r="BP933" s="18"/>
    </row>
    <row r="934">
      <c r="L934" s="16"/>
      <c r="M934" s="17"/>
      <c r="BG934" s="10"/>
      <c r="BH934" s="13"/>
      <c r="BI934" s="13"/>
      <c r="BJ934" s="13"/>
      <c r="BK934" s="13"/>
      <c r="BL934" s="13"/>
      <c r="BM934" s="13"/>
      <c r="BN934" s="13"/>
      <c r="BO934" s="13"/>
      <c r="BP934" s="18"/>
    </row>
    <row r="935">
      <c r="L935" s="16"/>
      <c r="M935" s="17"/>
      <c r="BG935" s="10"/>
      <c r="BH935" s="13"/>
      <c r="BI935" s="13"/>
      <c r="BJ935" s="13"/>
      <c r="BK935" s="13"/>
      <c r="BL935" s="13"/>
      <c r="BM935" s="13"/>
      <c r="BN935" s="13"/>
      <c r="BO935" s="13"/>
      <c r="BP935" s="18"/>
    </row>
    <row r="936">
      <c r="L936" s="16"/>
      <c r="M936" s="17"/>
      <c r="BG936" s="10"/>
      <c r="BH936" s="13"/>
      <c r="BI936" s="13"/>
      <c r="BJ936" s="13"/>
      <c r="BK936" s="13"/>
      <c r="BL936" s="13"/>
      <c r="BM936" s="13"/>
      <c r="BN936" s="13"/>
      <c r="BO936" s="13"/>
      <c r="BP936" s="18"/>
    </row>
    <row r="937">
      <c r="L937" s="16"/>
      <c r="M937" s="17"/>
      <c r="BG937" s="10"/>
      <c r="BH937" s="13"/>
      <c r="BI937" s="13"/>
      <c r="BJ937" s="13"/>
      <c r="BK937" s="13"/>
      <c r="BL937" s="13"/>
      <c r="BM937" s="13"/>
      <c r="BN937" s="13"/>
      <c r="BO937" s="13"/>
      <c r="BP937" s="18"/>
    </row>
    <row r="938">
      <c r="L938" s="16"/>
      <c r="M938" s="17"/>
      <c r="BG938" s="10"/>
      <c r="BH938" s="13"/>
      <c r="BI938" s="13"/>
      <c r="BJ938" s="13"/>
      <c r="BK938" s="13"/>
      <c r="BL938" s="13"/>
      <c r="BM938" s="13"/>
      <c r="BN938" s="13"/>
      <c r="BO938" s="13"/>
      <c r="BP938" s="18"/>
    </row>
    <row r="939">
      <c r="L939" s="16"/>
      <c r="M939" s="17"/>
      <c r="BG939" s="10"/>
      <c r="BH939" s="13"/>
      <c r="BI939" s="13"/>
      <c r="BJ939" s="13"/>
      <c r="BK939" s="13"/>
      <c r="BL939" s="13"/>
      <c r="BM939" s="13"/>
      <c r="BN939" s="13"/>
      <c r="BO939" s="13"/>
      <c r="BP939" s="18"/>
    </row>
    <row r="940">
      <c r="L940" s="16"/>
      <c r="M940" s="17"/>
      <c r="BG940" s="10"/>
      <c r="BH940" s="13"/>
      <c r="BI940" s="13"/>
      <c r="BJ940" s="13"/>
      <c r="BK940" s="13"/>
      <c r="BL940" s="13"/>
      <c r="BM940" s="13"/>
      <c r="BN940" s="13"/>
      <c r="BO940" s="13"/>
      <c r="BP940" s="18"/>
    </row>
    <row r="941">
      <c r="L941" s="16"/>
      <c r="M941" s="17"/>
      <c r="BG941" s="10"/>
      <c r="BH941" s="13"/>
      <c r="BI941" s="13"/>
      <c r="BJ941" s="13"/>
      <c r="BK941" s="13"/>
      <c r="BL941" s="13"/>
      <c r="BM941" s="13"/>
      <c r="BN941" s="13"/>
      <c r="BO941" s="13"/>
      <c r="BP941" s="18"/>
    </row>
    <row r="942">
      <c r="L942" s="16"/>
      <c r="M942" s="17"/>
      <c r="BG942" s="10"/>
      <c r="BH942" s="13"/>
      <c r="BI942" s="13"/>
      <c r="BJ942" s="13"/>
      <c r="BK942" s="13"/>
      <c r="BL942" s="13"/>
      <c r="BM942" s="13"/>
      <c r="BN942" s="13"/>
      <c r="BO942" s="13"/>
      <c r="BP942" s="18"/>
    </row>
    <row r="943">
      <c r="L943" s="16"/>
      <c r="M943" s="17"/>
      <c r="BG943" s="10"/>
      <c r="BH943" s="13"/>
      <c r="BI943" s="13"/>
      <c r="BJ943" s="13"/>
      <c r="BK943" s="13"/>
      <c r="BL943" s="13"/>
      <c r="BM943" s="13"/>
      <c r="BN943" s="13"/>
      <c r="BO943" s="13"/>
      <c r="BP943" s="18"/>
    </row>
    <row r="944">
      <c r="L944" s="16"/>
      <c r="M944" s="17"/>
      <c r="BG944" s="10"/>
      <c r="BH944" s="13"/>
      <c r="BI944" s="13"/>
      <c r="BJ944" s="13"/>
      <c r="BK944" s="13"/>
      <c r="BL944" s="13"/>
      <c r="BM944" s="13"/>
      <c r="BN944" s="13"/>
      <c r="BO944" s="13"/>
      <c r="BP944" s="18"/>
    </row>
    <row r="945">
      <c r="L945" s="16"/>
      <c r="M945" s="17"/>
      <c r="BG945" s="10"/>
      <c r="BH945" s="13"/>
      <c r="BI945" s="13"/>
      <c r="BJ945" s="13"/>
      <c r="BK945" s="13"/>
      <c r="BL945" s="13"/>
      <c r="BM945" s="13"/>
      <c r="BN945" s="13"/>
      <c r="BO945" s="13"/>
      <c r="BP945" s="18"/>
    </row>
    <row r="946">
      <c r="L946" s="16"/>
      <c r="M946" s="17"/>
      <c r="BG946" s="10"/>
      <c r="BH946" s="13"/>
      <c r="BI946" s="13"/>
      <c r="BJ946" s="13"/>
      <c r="BK946" s="13"/>
      <c r="BL946" s="13"/>
      <c r="BM946" s="13"/>
      <c r="BN946" s="13"/>
      <c r="BO946" s="13"/>
      <c r="BP946" s="18"/>
    </row>
    <row r="947">
      <c r="L947" s="16"/>
      <c r="M947" s="17"/>
      <c r="BG947" s="10"/>
      <c r="BH947" s="13"/>
      <c r="BI947" s="13"/>
      <c r="BJ947" s="13"/>
      <c r="BK947" s="13"/>
      <c r="BL947" s="13"/>
      <c r="BM947" s="13"/>
      <c r="BN947" s="13"/>
      <c r="BO947" s="13"/>
      <c r="BP947" s="18"/>
    </row>
    <row r="948">
      <c r="L948" s="16"/>
      <c r="M948" s="17"/>
      <c r="BG948" s="10"/>
      <c r="BH948" s="13"/>
      <c r="BI948" s="13"/>
      <c r="BJ948" s="13"/>
      <c r="BK948" s="13"/>
      <c r="BL948" s="13"/>
      <c r="BM948" s="13"/>
      <c r="BN948" s="13"/>
      <c r="BO948" s="13"/>
      <c r="BP948" s="18"/>
    </row>
    <row r="949">
      <c r="L949" s="16"/>
      <c r="M949" s="17"/>
      <c r="BG949" s="10"/>
      <c r="BH949" s="13"/>
      <c r="BI949" s="13"/>
      <c r="BJ949" s="13"/>
      <c r="BK949" s="13"/>
      <c r="BL949" s="13"/>
      <c r="BM949" s="13"/>
      <c r="BN949" s="13"/>
      <c r="BO949" s="13"/>
      <c r="BP949" s="18"/>
    </row>
    <row r="950">
      <c r="L950" s="16"/>
      <c r="M950" s="17"/>
      <c r="BG950" s="10"/>
      <c r="BH950" s="13"/>
      <c r="BI950" s="13"/>
      <c r="BJ950" s="13"/>
      <c r="BK950" s="13"/>
      <c r="BL950" s="13"/>
      <c r="BM950" s="13"/>
      <c r="BN950" s="13"/>
      <c r="BO950" s="13"/>
      <c r="BP950" s="18"/>
    </row>
    <row r="951">
      <c r="L951" s="16"/>
      <c r="M951" s="17"/>
      <c r="BG951" s="10"/>
      <c r="BH951" s="13"/>
      <c r="BI951" s="13"/>
      <c r="BJ951" s="13"/>
      <c r="BK951" s="13"/>
      <c r="BL951" s="13"/>
      <c r="BM951" s="13"/>
      <c r="BN951" s="13"/>
      <c r="BO951" s="13"/>
      <c r="BP951" s="18"/>
    </row>
    <row r="952">
      <c r="L952" s="16"/>
      <c r="M952" s="17"/>
      <c r="BG952" s="10"/>
      <c r="BH952" s="13"/>
      <c r="BI952" s="13"/>
      <c r="BJ952" s="13"/>
      <c r="BK952" s="13"/>
      <c r="BL952" s="13"/>
      <c r="BM952" s="13"/>
      <c r="BN952" s="13"/>
      <c r="BO952" s="13"/>
      <c r="BP952" s="18"/>
    </row>
    <row r="953">
      <c r="L953" s="16"/>
      <c r="M953" s="17"/>
      <c r="BG953" s="10"/>
      <c r="BH953" s="13"/>
      <c r="BI953" s="13"/>
      <c r="BJ953" s="13"/>
      <c r="BK953" s="13"/>
      <c r="BL953" s="13"/>
      <c r="BM953" s="13"/>
      <c r="BN953" s="13"/>
      <c r="BO953" s="13"/>
      <c r="BP953" s="18"/>
    </row>
    <row r="954">
      <c r="L954" s="16"/>
      <c r="M954" s="17"/>
      <c r="BG954" s="10"/>
      <c r="BH954" s="13"/>
      <c r="BI954" s="13"/>
      <c r="BJ954" s="13"/>
      <c r="BK954" s="13"/>
      <c r="BL954" s="13"/>
      <c r="BM954" s="13"/>
      <c r="BN954" s="13"/>
      <c r="BO954" s="13"/>
      <c r="BP954" s="18"/>
    </row>
    <row r="955">
      <c r="L955" s="16"/>
      <c r="M955" s="17"/>
      <c r="BG955" s="10"/>
      <c r="BH955" s="13"/>
      <c r="BI955" s="13"/>
      <c r="BJ955" s="13"/>
      <c r="BK955" s="13"/>
      <c r="BL955" s="13"/>
      <c r="BM955" s="13"/>
      <c r="BN955" s="13"/>
      <c r="BO955" s="13"/>
      <c r="BP955" s="18"/>
    </row>
    <row r="956">
      <c r="L956" s="16"/>
      <c r="M956" s="17"/>
      <c r="BG956" s="10"/>
      <c r="BH956" s="13"/>
      <c r="BI956" s="13"/>
      <c r="BJ956" s="13"/>
      <c r="BK956" s="13"/>
      <c r="BL956" s="13"/>
      <c r="BM956" s="13"/>
      <c r="BN956" s="13"/>
      <c r="BO956" s="13"/>
      <c r="BP956" s="18"/>
    </row>
    <row r="957">
      <c r="L957" s="16"/>
      <c r="M957" s="17"/>
      <c r="BG957" s="10"/>
      <c r="BH957" s="13"/>
      <c r="BI957" s="13"/>
      <c r="BJ957" s="13"/>
      <c r="BK957" s="13"/>
      <c r="BL957" s="13"/>
      <c r="BM957" s="13"/>
      <c r="BN957" s="13"/>
      <c r="BO957" s="13"/>
      <c r="BP957" s="18"/>
    </row>
    <row r="958">
      <c r="L958" s="16"/>
      <c r="M958" s="17"/>
      <c r="BG958" s="10"/>
      <c r="BH958" s="13"/>
      <c r="BI958" s="13"/>
      <c r="BJ958" s="13"/>
      <c r="BK958" s="13"/>
      <c r="BL958" s="13"/>
      <c r="BM958" s="13"/>
      <c r="BN958" s="13"/>
      <c r="BO958" s="13"/>
      <c r="BP958" s="18"/>
    </row>
    <row r="959">
      <c r="L959" s="16"/>
      <c r="M959" s="17"/>
      <c r="BG959" s="10"/>
      <c r="BH959" s="13"/>
      <c r="BI959" s="13"/>
      <c r="BJ959" s="13"/>
      <c r="BK959" s="13"/>
      <c r="BL959" s="13"/>
      <c r="BM959" s="13"/>
      <c r="BN959" s="13"/>
      <c r="BO959" s="13"/>
      <c r="BP959" s="18"/>
    </row>
    <row r="960">
      <c r="L960" s="16"/>
      <c r="M960" s="17"/>
      <c r="BG960" s="10"/>
      <c r="BH960" s="13"/>
      <c r="BI960" s="13"/>
      <c r="BJ960" s="13"/>
      <c r="BK960" s="13"/>
      <c r="BL960" s="13"/>
      <c r="BM960" s="13"/>
      <c r="BN960" s="13"/>
      <c r="BO960" s="13"/>
      <c r="BP960" s="18"/>
    </row>
    <row r="961">
      <c r="L961" s="16"/>
      <c r="M961" s="17"/>
      <c r="BG961" s="10"/>
      <c r="BH961" s="13"/>
      <c r="BI961" s="13"/>
      <c r="BJ961" s="13"/>
      <c r="BK961" s="13"/>
      <c r="BL961" s="13"/>
      <c r="BM961" s="13"/>
      <c r="BN961" s="13"/>
      <c r="BO961" s="13"/>
      <c r="BP961" s="18"/>
    </row>
    <row r="962">
      <c r="L962" s="16"/>
      <c r="M962" s="17"/>
      <c r="BG962" s="10"/>
      <c r="BH962" s="13"/>
      <c r="BI962" s="13"/>
      <c r="BJ962" s="13"/>
      <c r="BK962" s="13"/>
      <c r="BL962" s="13"/>
      <c r="BM962" s="13"/>
      <c r="BN962" s="13"/>
      <c r="BO962" s="13"/>
      <c r="BP962" s="18"/>
    </row>
    <row r="963">
      <c r="L963" s="16"/>
      <c r="M963" s="17"/>
      <c r="BG963" s="10"/>
      <c r="BH963" s="13"/>
      <c r="BI963" s="13"/>
      <c r="BJ963" s="13"/>
      <c r="BK963" s="13"/>
      <c r="BL963" s="13"/>
      <c r="BM963" s="13"/>
      <c r="BN963" s="13"/>
      <c r="BO963" s="13"/>
      <c r="BP963" s="18"/>
    </row>
    <row r="964">
      <c r="L964" s="16"/>
      <c r="M964" s="17"/>
      <c r="BG964" s="10"/>
      <c r="BH964" s="13"/>
      <c r="BI964" s="13"/>
      <c r="BJ964" s="13"/>
      <c r="BK964" s="13"/>
      <c r="BL964" s="13"/>
      <c r="BM964" s="13"/>
      <c r="BN964" s="13"/>
      <c r="BO964" s="13"/>
      <c r="BP964" s="18"/>
    </row>
    <row r="965">
      <c r="L965" s="16"/>
      <c r="M965" s="17"/>
      <c r="BG965" s="10"/>
      <c r="BH965" s="13"/>
      <c r="BI965" s="13"/>
      <c r="BJ965" s="13"/>
      <c r="BK965" s="13"/>
      <c r="BL965" s="13"/>
      <c r="BM965" s="13"/>
      <c r="BN965" s="13"/>
      <c r="BO965" s="13"/>
      <c r="BP965" s="18"/>
    </row>
    <row r="966">
      <c r="L966" s="16"/>
      <c r="M966" s="17"/>
      <c r="BG966" s="10"/>
      <c r="BH966" s="13"/>
      <c r="BI966" s="13"/>
      <c r="BJ966" s="13"/>
      <c r="BK966" s="13"/>
      <c r="BL966" s="13"/>
      <c r="BM966" s="13"/>
      <c r="BN966" s="13"/>
      <c r="BO966" s="13"/>
      <c r="BP966" s="18"/>
    </row>
    <row r="967">
      <c r="L967" s="16"/>
      <c r="M967" s="17"/>
      <c r="BG967" s="10"/>
      <c r="BH967" s="13"/>
      <c r="BI967" s="13"/>
      <c r="BJ967" s="13"/>
      <c r="BK967" s="13"/>
      <c r="BL967" s="13"/>
      <c r="BM967" s="13"/>
      <c r="BN967" s="13"/>
      <c r="BO967" s="13"/>
      <c r="BP967" s="18"/>
    </row>
    <row r="968">
      <c r="L968" s="16"/>
      <c r="M968" s="17"/>
      <c r="BG968" s="10"/>
      <c r="BH968" s="13"/>
      <c r="BI968" s="13"/>
      <c r="BJ968" s="13"/>
      <c r="BK968" s="13"/>
      <c r="BL968" s="13"/>
      <c r="BM968" s="13"/>
      <c r="BN968" s="13"/>
      <c r="BO968" s="13"/>
      <c r="BP968" s="18"/>
    </row>
    <row r="969">
      <c r="L969" s="16"/>
      <c r="M969" s="17"/>
      <c r="BG969" s="10"/>
      <c r="BH969" s="13"/>
      <c r="BI969" s="13"/>
      <c r="BJ969" s="13"/>
      <c r="BK969" s="13"/>
      <c r="BL969" s="13"/>
      <c r="BM969" s="13"/>
      <c r="BN969" s="13"/>
      <c r="BO969" s="13"/>
      <c r="BP969" s="18"/>
    </row>
    <row r="970">
      <c r="L970" s="16"/>
      <c r="M970" s="17"/>
      <c r="BG970" s="10"/>
      <c r="BH970" s="13"/>
      <c r="BI970" s="13"/>
      <c r="BJ970" s="13"/>
      <c r="BK970" s="13"/>
      <c r="BL970" s="13"/>
      <c r="BM970" s="13"/>
      <c r="BN970" s="13"/>
      <c r="BO970" s="13"/>
      <c r="BP970" s="18"/>
    </row>
    <row r="971">
      <c r="L971" s="16"/>
      <c r="M971" s="17"/>
      <c r="BG971" s="10"/>
      <c r="BH971" s="13"/>
      <c r="BI971" s="13"/>
      <c r="BJ971" s="13"/>
      <c r="BK971" s="13"/>
      <c r="BL971" s="13"/>
      <c r="BM971" s="13"/>
      <c r="BN971" s="13"/>
      <c r="BO971" s="13"/>
      <c r="BP971" s="18"/>
    </row>
    <row r="972">
      <c r="L972" s="16"/>
      <c r="M972" s="17"/>
      <c r="BG972" s="10"/>
      <c r="BH972" s="13"/>
      <c r="BI972" s="13"/>
      <c r="BJ972" s="13"/>
      <c r="BK972" s="13"/>
      <c r="BL972" s="13"/>
      <c r="BM972" s="13"/>
      <c r="BN972" s="13"/>
      <c r="BO972" s="13"/>
      <c r="BP972" s="18"/>
    </row>
    <row r="973">
      <c r="L973" s="16"/>
      <c r="M973" s="17"/>
      <c r="BG973" s="10"/>
      <c r="BH973" s="13"/>
      <c r="BI973" s="13"/>
      <c r="BJ973" s="13"/>
      <c r="BK973" s="13"/>
      <c r="BL973" s="13"/>
      <c r="BM973" s="13"/>
      <c r="BN973" s="13"/>
      <c r="BO973" s="13"/>
      <c r="BP973" s="18"/>
    </row>
    <row r="974">
      <c r="L974" s="16"/>
      <c r="M974" s="17"/>
      <c r="BG974" s="10"/>
      <c r="BH974" s="13"/>
      <c r="BI974" s="13"/>
      <c r="BJ974" s="13"/>
      <c r="BK974" s="13"/>
      <c r="BL974" s="13"/>
      <c r="BM974" s="13"/>
      <c r="BN974" s="13"/>
      <c r="BO974" s="13"/>
      <c r="BP974" s="18"/>
    </row>
    <row r="975">
      <c r="L975" s="16"/>
      <c r="M975" s="17"/>
      <c r="BG975" s="10"/>
      <c r="BH975" s="13"/>
      <c r="BI975" s="13"/>
      <c r="BJ975" s="13"/>
      <c r="BK975" s="13"/>
      <c r="BL975" s="13"/>
      <c r="BM975" s="13"/>
      <c r="BN975" s="13"/>
      <c r="BO975" s="13"/>
      <c r="BP975" s="18"/>
    </row>
    <row r="976">
      <c r="L976" s="16"/>
      <c r="M976" s="17"/>
      <c r="BG976" s="10"/>
      <c r="BH976" s="13"/>
      <c r="BI976" s="13"/>
      <c r="BJ976" s="13"/>
      <c r="BK976" s="13"/>
      <c r="BL976" s="13"/>
      <c r="BM976" s="13"/>
      <c r="BN976" s="13"/>
      <c r="BO976" s="13"/>
      <c r="BP976" s="18"/>
    </row>
    <row r="977">
      <c r="L977" s="16"/>
      <c r="M977" s="17"/>
      <c r="BG977" s="10"/>
      <c r="BH977" s="13"/>
      <c r="BI977" s="13"/>
      <c r="BJ977" s="13"/>
      <c r="BK977" s="13"/>
      <c r="BL977" s="13"/>
      <c r="BM977" s="13"/>
      <c r="BN977" s="13"/>
      <c r="BO977" s="13"/>
      <c r="BP977" s="18"/>
    </row>
    <row r="978">
      <c r="L978" s="16"/>
      <c r="M978" s="17"/>
      <c r="BG978" s="10"/>
      <c r="BH978" s="13"/>
      <c r="BI978" s="13"/>
      <c r="BJ978" s="13"/>
      <c r="BK978" s="13"/>
      <c r="BL978" s="13"/>
      <c r="BM978" s="13"/>
      <c r="BN978" s="13"/>
      <c r="BO978" s="13"/>
      <c r="BP978" s="18"/>
    </row>
    <row r="979">
      <c r="L979" s="16"/>
      <c r="M979" s="17"/>
      <c r="BG979" s="10"/>
      <c r="BH979" s="13"/>
      <c r="BI979" s="13"/>
      <c r="BJ979" s="13"/>
      <c r="BK979" s="13"/>
      <c r="BL979" s="13"/>
      <c r="BM979" s="13"/>
      <c r="BN979" s="13"/>
      <c r="BO979" s="13"/>
      <c r="BP979" s="18"/>
    </row>
    <row r="980">
      <c r="L980" s="16"/>
      <c r="M980" s="17"/>
      <c r="BG980" s="10"/>
      <c r="BH980" s="13"/>
      <c r="BI980" s="13"/>
      <c r="BJ980" s="13"/>
      <c r="BK980" s="13"/>
      <c r="BL980" s="13"/>
      <c r="BM980" s="13"/>
      <c r="BN980" s="13"/>
      <c r="BO980" s="13"/>
      <c r="BP980" s="18"/>
    </row>
    <row r="981">
      <c r="L981" s="16"/>
      <c r="M981" s="17"/>
      <c r="BG981" s="10"/>
      <c r="BH981" s="13"/>
      <c r="BI981" s="13"/>
      <c r="BJ981" s="13"/>
      <c r="BK981" s="13"/>
      <c r="BL981" s="13"/>
      <c r="BM981" s="13"/>
      <c r="BN981" s="13"/>
      <c r="BO981" s="13"/>
      <c r="BP981" s="18"/>
    </row>
    <row r="982">
      <c r="L982" s="16"/>
      <c r="M982" s="17"/>
      <c r="BG982" s="10"/>
      <c r="BH982" s="13"/>
      <c r="BI982" s="13"/>
      <c r="BJ982" s="13"/>
      <c r="BK982" s="13"/>
      <c r="BL982" s="13"/>
      <c r="BM982" s="13"/>
      <c r="BN982" s="13"/>
      <c r="BO982" s="13"/>
      <c r="BP982" s="18"/>
    </row>
    <row r="983">
      <c r="L983" s="16"/>
      <c r="M983" s="17"/>
      <c r="BG983" s="10"/>
      <c r="BH983" s="13"/>
      <c r="BI983" s="13"/>
      <c r="BJ983" s="13"/>
      <c r="BK983" s="13"/>
      <c r="BL983" s="13"/>
      <c r="BM983" s="13"/>
      <c r="BN983" s="13"/>
      <c r="BO983" s="13"/>
      <c r="BP983" s="18"/>
    </row>
    <row r="984">
      <c r="L984" s="16"/>
      <c r="M984" s="17"/>
      <c r="BG984" s="10"/>
      <c r="BH984" s="13"/>
      <c r="BI984" s="13"/>
      <c r="BJ984" s="13"/>
      <c r="BK984" s="13"/>
      <c r="BL984" s="13"/>
      <c r="BM984" s="13"/>
      <c r="BN984" s="13"/>
      <c r="BO984" s="13"/>
      <c r="BP984" s="18"/>
    </row>
    <row r="985">
      <c r="L985" s="16"/>
      <c r="M985" s="17"/>
      <c r="BG985" s="10"/>
      <c r="BH985" s="13"/>
      <c r="BI985" s="13"/>
      <c r="BJ985" s="13"/>
      <c r="BK985" s="13"/>
      <c r="BL985" s="13"/>
      <c r="BM985" s="13"/>
      <c r="BN985" s="13"/>
      <c r="BO985" s="13"/>
      <c r="BP985" s="18"/>
    </row>
    <row r="986">
      <c r="L986" s="16"/>
      <c r="M986" s="17"/>
      <c r="BG986" s="10"/>
      <c r="BH986" s="13"/>
      <c r="BI986" s="13"/>
      <c r="BJ986" s="13"/>
      <c r="BK986" s="13"/>
      <c r="BL986" s="13"/>
      <c r="BM986" s="13"/>
      <c r="BN986" s="13"/>
      <c r="BO986" s="13"/>
      <c r="BP986" s="18"/>
    </row>
    <row r="987">
      <c r="L987" s="16"/>
      <c r="M987" s="17"/>
      <c r="BG987" s="10"/>
      <c r="BH987" s="13"/>
      <c r="BI987" s="13"/>
      <c r="BJ987" s="13"/>
      <c r="BK987" s="13"/>
      <c r="BL987" s="13"/>
      <c r="BM987" s="13"/>
      <c r="BN987" s="13"/>
      <c r="BO987" s="13"/>
      <c r="BP987" s="18"/>
    </row>
    <row r="988">
      <c r="L988" s="16"/>
      <c r="M988" s="17"/>
      <c r="BG988" s="10"/>
      <c r="BH988" s="13"/>
      <c r="BI988" s="13"/>
      <c r="BJ988" s="13"/>
      <c r="BK988" s="13"/>
      <c r="BL988" s="13"/>
      <c r="BM988" s="13"/>
      <c r="BN988" s="13"/>
      <c r="BO988" s="13"/>
      <c r="BP988" s="18"/>
    </row>
    <row r="989">
      <c r="L989" s="16"/>
      <c r="M989" s="17"/>
      <c r="BG989" s="10"/>
      <c r="BH989" s="13"/>
      <c r="BI989" s="13"/>
      <c r="BJ989" s="13"/>
      <c r="BK989" s="13"/>
      <c r="BL989" s="13"/>
      <c r="BM989" s="13"/>
      <c r="BN989" s="13"/>
      <c r="BO989" s="13"/>
      <c r="BP989" s="18"/>
    </row>
    <row r="990">
      <c r="L990" s="16"/>
      <c r="M990" s="17"/>
      <c r="BG990" s="10"/>
      <c r="BH990" s="13"/>
      <c r="BI990" s="13"/>
      <c r="BJ990" s="13"/>
      <c r="BK990" s="13"/>
      <c r="BL990" s="13"/>
      <c r="BM990" s="13"/>
      <c r="BN990" s="13"/>
      <c r="BO990" s="13"/>
      <c r="BP990" s="18"/>
    </row>
    <row r="991">
      <c r="L991" s="16"/>
      <c r="M991" s="17"/>
      <c r="BG991" s="10"/>
      <c r="BH991" s="13"/>
      <c r="BI991" s="13"/>
      <c r="BJ991" s="13"/>
      <c r="BK991" s="13"/>
      <c r="BL991" s="13"/>
      <c r="BM991" s="13"/>
      <c r="BN991" s="13"/>
      <c r="BO991" s="13"/>
      <c r="BP991" s="18"/>
    </row>
    <row r="992">
      <c r="L992" s="16"/>
      <c r="M992" s="17"/>
      <c r="BG992" s="10"/>
      <c r="BH992" s="13"/>
      <c r="BI992" s="13"/>
      <c r="BJ992" s="13"/>
      <c r="BK992" s="13"/>
      <c r="BL992" s="13"/>
      <c r="BM992" s="13"/>
      <c r="BN992" s="13"/>
      <c r="BO992" s="13"/>
      <c r="BP992" s="18"/>
    </row>
    <row r="993">
      <c r="L993" s="16"/>
      <c r="M993" s="17"/>
      <c r="BG993" s="10"/>
      <c r="BH993" s="13"/>
      <c r="BI993" s="13"/>
      <c r="BJ993" s="13"/>
      <c r="BK993" s="13"/>
      <c r="BL993" s="13"/>
      <c r="BM993" s="13"/>
      <c r="BN993" s="13"/>
      <c r="BO993" s="13"/>
      <c r="BP993" s="18"/>
    </row>
    <row r="994">
      <c r="L994" s="16"/>
      <c r="M994" s="17"/>
      <c r="BG994" s="10"/>
      <c r="BH994" s="13"/>
      <c r="BI994" s="13"/>
      <c r="BJ994" s="13"/>
      <c r="BK994" s="13"/>
      <c r="BL994" s="13"/>
      <c r="BM994" s="13"/>
      <c r="BN994" s="13"/>
      <c r="BO994" s="13"/>
      <c r="BP994" s="18"/>
    </row>
    <row r="995">
      <c r="L995" s="16"/>
      <c r="M995" s="17"/>
      <c r="BG995" s="10"/>
      <c r="BH995" s="13"/>
      <c r="BI995" s="13"/>
      <c r="BJ995" s="13"/>
      <c r="BK995" s="13"/>
      <c r="BL995" s="13"/>
      <c r="BM995" s="13"/>
      <c r="BN995" s="13"/>
      <c r="BO995" s="13"/>
      <c r="BP995" s="18"/>
    </row>
    <row r="996">
      <c r="L996" s="16"/>
      <c r="M996" s="17"/>
      <c r="BG996" s="10"/>
      <c r="BH996" s="13"/>
      <c r="BI996" s="13"/>
      <c r="BJ996" s="13"/>
      <c r="BK996" s="13"/>
      <c r="BL996" s="13"/>
      <c r="BM996" s="13"/>
      <c r="BN996" s="13"/>
      <c r="BO996" s="13"/>
      <c r="BP996" s="18"/>
    </row>
    <row r="997">
      <c r="L997" s="16"/>
      <c r="M997" s="17"/>
      <c r="BG997" s="10"/>
      <c r="BH997" s="13"/>
      <c r="BI997" s="13"/>
      <c r="BJ997" s="13"/>
      <c r="BK997" s="13"/>
      <c r="BL997" s="13"/>
      <c r="BM997" s="13"/>
      <c r="BN997" s="13"/>
      <c r="BO997" s="13"/>
      <c r="BP997" s="18"/>
    </row>
    <row r="998">
      <c r="L998" s="16"/>
      <c r="M998" s="17"/>
      <c r="BG998" s="10"/>
      <c r="BH998" s="13"/>
      <c r="BI998" s="13"/>
      <c r="BJ998" s="13"/>
      <c r="BK998" s="13"/>
      <c r="BL998" s="13"/>
      <c r="BM998" s="13"/>
      <c r="BN998" s="13"/>
      <c r="BO998" s="13"/>
      <c r="BP998" s="18"/>
    </row>
    <row r="999">
      <c r="L999" s="16"/>
      <c r="M999" s="17"/>
      <c r="BG999" s="10"/>
      <c r="BH999" s="13"/>
      <c r="BI999" s="13"/>
      <c r="BJ999" s="13"/>
      <c r="BK999" s="13"/>
      <c r="BL999" s="13"/>
      <c r="BM999" s="13"/>
      <c r="BN999" s="13"/>
      <c r="BO999" s="13"/>
      <c r="BP999" s="18"/>
    </row>
    <row r="1000">
      <c r="L1000" s="16"/>
      <c r="M1000" s="17"/>
      <c r="BG1000" s="10"/>
      <c r="BH1000" s="13"/>
      <c r="BI1000" s="13"/>
      <c r="BJ1000" s="13"/>
      <c r="BK1000" s="13"/>
      <c r="BL1000" s="13"/>
      <c r="BM1000" s="13"/>
      <c r="BN1000" s="13"/>
      <c r="BO1000" s="13"/>
      <c r="BP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5" max="5" width="17.5"/>
    <col customWidth="1" min="7" max="7" width="16.25"/>
  </cols>
  <sheetData>
    <row r="1">
      <c r="A1" s="19" t="s">
        <v>178</v>
      </c>
      <c r="B1" s="20" t="s">
        <v>1</v>
      </c>
      <c r="C1" s="20" t="s">
        <v>2</v>
      </c>
      <c r="D1" s="19" t="s">
        <v>4</v>
      </c>
      <c r="E1" s="19" t="s">
        <v>5</v>
      </c>
      <c r="F1" s="19" t="s">
        <v>6</v>
      </c>
      <c r="G1" s="19" t="s">
        <v>7</v>
      </c>
      <c r="H1" s="21" t="s">
        <v>179</v>
      </c>
      <c r="I1" s="21"/>
      <c r="J1" s="21"/>
      <c r="K1" s="21"/>
      <c r="L1" s="21"/>
      <c r="M1" s="21"/>
      <c r="N1" s="21"/>
      <c r="O1" s="21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23">
        <v>0.5</v>
      </c>
      <c r="B2" s="24" t="s">
        <v>68</v>
      </c>
      <c r="C2" s="25">
        <v>46186.0</v>
      </c>
      <c r="D2" s="26" t="s">
        <v>71</v>
      </c>
      <c r="E2" s="26" t="s">
        <v>70</v>
      </c>
      <c r="F2" s="26">
        <v>65.0</v>
      </c>
      <c r="G2" s="26">
        <v>68.0</v>
      </c>
      <c r="H2" s="21"/>
      <c r="I2" s="21"/>
      <c r="J2" s="21"/>
      <c r="K2" s="21"/>
      <c r="L2" s="21"/>
      <c r="M2" s="21"/>
      <c r="N2" s="21"/>
      <c r="O2" s="21"/>
      <c r="P2" s="21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>
      <c r="A3" s="29">
        <v>0.5833333333333334</v>
      </c>
      <c r="B3" s="24" t="s">
        <v>96</v>
      </c>
      <c r="C3" s="25">
        <v>46186.0</v>
      </c>
      <c r="D3" s="26" t="s">
        <v>98</v>
      </c>
      <c r="E3" s="26" t="s">
        <v>99</v>
      </c>
      <c r="F3" s="26">
        <v>77.0</v>
      </c>
      <c r="G3" s="26">
        <v>74.0</v>
      </c>
      <c r="H3" s="30"/>
      <c r="I3" s="30"/>
      <c r="J3" s="30"/>
      <c r="K3" s="30"/>
      <c r="L3" s="30"/>
      <c r="M3" s="30"/>
      <c r="N3" s="31"/>
      <c r="O3" s="30"/>
      <c r="P3" s="30"/>
      <c r="Q3" s="30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>
      <c r="A4" s="29">
        <v>0.6666666666666666</v>
      </c>
      <c r="B4" s="24" t="s">
        <v>124</v>
      </c>
      <c r="C4" s="25">
        <v>46186.0</v>
      </c>
      <c r="D4" s="26" t="s">
        <v>180</v>
      </c>
      <c r="E4" s="26" t="s">
        <v>181</v>
      </c>
      <c r="F4" s="26">
        <v>72.0</v>
      </c>
      <c r="G4" s="26">
        <v>85.0</v>
      </c>
      <c r="H4" s="32"/>
      <c r="I4" s="32"/>
      <c r="J4" s="32"/>
      <c r="K4" s="32"/>
      <c r="L4" s="32"/>
      <c r="M4" s="32"/>
      <c r="N4" s="33"/>
      <c r="O4" s="32"/>
      <c r="P4" s="32"/>
      <c r="Q4" s="32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>
      <c r="A5" s="29">
        <v>0.75</v>
      </c>
      <c r="B5" s="24" t="s">
        <v>146</v>
      </c>
      <c r="C5" s="25">
        <v>46186.0</v>
      </c>
      <c r="D5" s="26" t="s">
        <v>148</v>
      </c>
      <c r="E5" s="26" t="s">
        <v>149</v>
      </c>
      <c r="F5" s="26">
        <v>71.0</v>
      </c>
      <c r="G5" s="26">
        <v>102.0</v>
      </c>
      <c r="H5" s="32"/>
      <c r="I5" s="32"/>
      <c r="J5" s="32"/>
      <c r="K5" s="32"/>
      <c r="L5" s="32"/>
      <c r="M5" s="32"/>
      <c r="N5" s="33"/>
      <c r="O5" s="32"/>
      <c r="P5" s="32"/>
      <c r="Q5" s="32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>
      <c r="A6" s="23">
        <v>0.5</v>
      </c>
      <c r="B6" s="24" t="s">
        <v>166</v>
      </c>
      <c r="C6" s="25">
        <v>46187.0</v>
      </c>
      <c r="D6" s="26" t="s">
        <v>70</v>
      </c>
      <c r="E6" s="26" t="s">
        <v>99</v>
      </c>
      <c r="F6" s="26">
        <v>72.0</v>
      </c>
      <c r="G6" s="26">
        <v>62.0</v>
      </c>
      <c r="H6" s="32"/>
      <c r="I6" s="32"/>
      <c r="J6" s="32"/>
      <c r="K6" s="32"/>
      <c r="L6" s="32"/>
      <c r="M6" s="32"/>
      <c r="N6" s="33"/>
      <c r="O6" s="32"/>
      <c r="P6" s="32"/>
      <c r="Q6" s="32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>
      <c r="A7" s="29">
        <v>0.5833333333333334</v>
      </c>
      <c r="B7" s="24" t="s">
        <v>169</v>
      </c>
      <c r="C7" s="25">
        <v>46187.0</v>
      </c>
      <c r="D7" s="26" t="s">
        <v>71</v>
      </c>
      <c r="E7" s="26" t="s">
        <v>181</v>
      </c>
      <c r="F7" s="26">
        <v>93.0</v>
      </c>
      <c r="G7" s="26">
        <v>89.0</v>
      </c>
      <c r="H7" s="32"/>
      <c r="I7" s="32"/>
      <c r="J7" s="32"/>
      <c r="K7" s="32"/>
      <c r="L7" s="32"/>
      <c r="M7" s="32"/>
      <c r="N7" s="33"/>
      <c r="O7" s="32"/>
      <c r="P7" s="32"/>
      <c r="Q7" s="32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>
      <c r="A8" s="29">
        <v>0.6666666666666666</v>
      </c>
      <c r="B8" s="24" t="s">
        <v>172</v>
      </c>
      <c r="C8" s="25">
        <v>46187.0</v>
      </c>
      <c r="D8" s="26" t="s">
        <v>98</v>
      </c>
      <c r="E8" s="26" t="s">
        <v>149</v>
      </c>
      <c r="F8" s="26">
        <v>65.0</v>
      </c>
      <c r="G8" s="26">
        <v>98.0</v>
      </c>
      <c r="H8" s="32"/>
      <c r="I8" s="32"/>
      <c r="J8" s="32"/>
      <c r="K8" s="32"/>
      <c r="L8" s="32"/>
      <c r="M8" s="32"/>
      <c r="N8" s="33"/>
      <c r="O8" s="32"/>
      <c r="P8" s="32"/>
      <c r="Q8" s="32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>
      <c r="A9" s="29">
        <v>0.75</v>
      </c>
      <c r="B9" s="24" t="s">
        <v>175</v>
      </c>
      <c r="C9" s="25">
        <v>46187.0</v>
      </c>
      <c r="D9" s="26" t="s">
        <v>180</v>
      </c>
      <c r="E9" s="26" t="s">
        <v>148</v>
      </c>
      <c r="F9" s="26">
        <v>62.0</v>
      </c>
      <c r="G9" s="26">
        <v>86.0</v>
      </c>
      <c r="H9" s="32"/>
      <c r="I9" s="32"/>
      <c r="J9" s="32"/>
      <c r="K9" s="32"/>
      <c r="L9" s="32"/>
      <c r="M9" s="32"/>
      <c r="N9" s="33"/>
      <c r="O9" s="32"/>
      <c r="P9" s="32"/>
      <c r="Q9" s="32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>
      <c r="A10" s="23">
        <v>0.5</v>
      </c>
      <c r="B10" s="34" t="s">
        <v>182</v>
      </c>
      <c r="C10" s="25">
        <v>46193.0</v>
      </c>
      <c r="D10" s="26" t="s">
        <v>181</v>
      </c>
      <c r="E10" s="26" t="s">
        <v>70</v>
      </c>
      <c r="F10" s="26">
        <v>81.0</v>
      </c>
      <c r="G10" s="26">
        <v>78.0</v>
      </c>
      <c r="H10" s="32"/>
      <c r="I10" s="32"/>
      <c r="J10" s="32"/>
      <c r="K10" s="32"/>
      <c r="L10" s="32"/>
      <c r="M10" s="32"/>
      <c r="N10" s="33"/>
      <c r="O10" s="32"/>
      <c r="P10" s="32"/>
      <c r="Q10" s="32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>
      <c r="A11" s="29">
        <v>0.5833333333333334</v>
      </c>
      <c r="B11" s="34" t="s">
        <v>183</v>
      </c>
      <c r="C11" s="25">
        <v>46193.0</v>
      </c>
      <c r="D11" s="26" t="s">
        <v>149</v>
      </c>
      <c r="E11" s="26" t="s">
        <v>99</v>
      </c>
      <c r="F11" s="26">
        <v>109.0</v>
      </c>
      <c r="G11" s="26">
        <v>68.0</v>
      </c>
      <c r="H11" s="32"/>
      <c r="I11" s="32"/>
      <c r="J11" s="32"/>
      <c r="K11" s="32"/>
      <c r="L11" s="32"/>
      <c r="M11" s="32"/>
      <c r="N11" s="33"/>
      <c r="O11" s="32"/>
      <c r="P11" s="32"/>
      <c r="Q11" s="32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>
      <c r="A12" s="29">
        <v>0.6666666666666666</v>
      </c>
      <c r="B12" s="34" t="s">
        <v>184</v>
      </c>
      <c r="C12" s="25">
        <v>46193.0</v>
      </c>
      <c r="D12" s="26" t="s">
        <v>148</v>
      </c>
      <c r="E12" s="26" t="s">
        <v>71</v>
      </c>
      <c r="F12" s="26">
        <v>66.0</v>
      </c>
      <c r="G12" s="26">
        <v>85.0</v>
      </c>
      <c r="H12" s="32"/>
      <c r="I12" s="32"/>
      <c r="J12" s="32"/>
      <c r="K12" s="32"/>
      <c r="L12" s="32"/>
      <c r="M12" s="32"/>
      <c r="N12" s="33"/>
      <c r="O12" s="32"/>
      <c r="P12" s="32"/>
      <c r="Q12" s="32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>
      <c r="A13" s="29">
        <v>0.75</v>
      </c>
      <c r="B13" s="34" t="s">
        <v>185</v>
      </c>
      <c r="C13" s="25">
        <v>46193.0</v>
      </c>
      <c r="D13" s="26" t="s">
        <v>180</v>
      </c>
      <c r="E13" s="26" t="s">
        <v>98</v>
      </c>
      <c r="F13" s="26">
        <v>53.0</v>
      </c>
      <c r="G13" s="26">
        <v>71.0</v>
      </c>
      <c r="H13" s="32"/>
      <c r="I13" s="32"/>
      <c r="J13" s="32"/>
      <c r="K13" s="32"/>
      <c r="L13" s="32"/>
      <c r="M13" s="32"/>
      <c r="N13" s="33"/>
      <c r="O13" s="32"/>
      <c r="P13" s="32"/>
      <c r="Q13" s="32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>
      <c r="A14" s="23">
        <v>0.5</v>
      </c>
      <c r="B14" s="34" t="s">
        <v>186</v>
      </c>
      <c r="C14" s="25">
        <v>46194.0</v>
      </c>
      <c r="D14" s="26" t="s">
        <v>70</v>
      </c>
      <c r="E14" s="26" t="s">
        <v>149</v>
      </c>
      <c r="F14" s="26">
        <v>80.0</v>
      </c>
      <c r="G14" s="26">
        <v>107.0</v>
      </c>
      <c r="H14" s="32"/>
      <c r="I14" s="32"/>
      <c r="J14" s="32"/>
      <c r="K14" s="32"/>
      <c r="L14" s="32"/>
      <c r="M14" s="32"/>
      <c r="N14" s="33"/>
      <c r="O14" s="32"/>
      <c r="P14" s="32"/>
      <c r="Q14" s="32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>
      <c r="A15" s="29">
        <v>0.5833333333333334</v>
      </c>
      <c r="B15" s="34" t="s">
        <v>187</v>
      </c>
      <c r="C15" s="25">
        <v>46194.0</v>
      </c>
      <c r="D15" s="26" t="s">
        <v>181</v>
      </c>
      <c r="E15" s="26" t="s">
        <v>148</v>
      </c>
      <c r="F15" s="26">
        <v>79.0</v>
      </c>
      <c r="G15" s="26">
        <v>93.0</v>
      </c>
      <c r="H15" s="32"/>
      <c r="I15" s="32"/>
      <c r="J15" s="32"/>
      <c r="K15" s="32"/>
      <c r="L15" s="32"/>
      <c r="M15" s="32"/>
      <c r="N15" s="33"/>
      <c r="O15" s="32"/>
      <c r="P15" s="32"/>
      <c r="Q15" s="32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>
      <c r="A16" s="29">
        <v>0.6666666666666666</v>
      </c>
      <c r="B16" s="34" t="s">
        <v>188</v>
      </c>
      <c r="C16" s="25">
        <v>46194.0</v>
      </c>
      <c r="D16" s="26" t="s">
        <v>99</v>
      </c>
      <c r="E16" s="26" t="s">
        <v>180</v>
      </c>
      <c r="F16" s="26">
        <v>91.0</v>
      </c>
      <c r="G16" s="26">
        <v>74.0</v>
      </c>
      <c r="H16" s="32"/>
      <c r="I16" s="32"/>
      <c r="J16" s="32"/>
      <c r="K16" s="32"/>
      <c r="L16" s="32"/>
      <c r="M16" s="32"/>
      <c r="N16" s="33"/>
      <c r="O16" s="32"/>
      <c r="P16" s="32"/>
      <c r="Q16" s="32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>
      <c r="A17" s="29">
        <v>0.75</v>
      </c>
      <c r="B17" s="34" t="s">
        <v>189</v>
      </c>
      <c r="C17" s="25">
        <v>46194.0</v>
      </c>
      <c r="D17" s="26" t="s">
        <v>71</v>
      </c>
      <c r="E17" s="26" t="s">
        <v>98</v>
      </c>
      <c r="F17" s="26">
        <v>84.0</v>
      </c>
      <c r="G17" s="26">
        <v>81.0</v>
      </c>
      <c r="H17" s="32"/>
      <c r="I17" s="32"/>
      <c r="J17" s="32"/>
      <c r="K17" s="32"/>
      <c r="L17" s="32"/>
      <c r="M17" s="32"/>
      <c r="N17" s="33"/>
      <c r="O17" s="32"/>
      <c r="P17" s="32"/>
      <c r="Q17" s="32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>
      <c r="A18" s="23">
        <v>0.5</v>
      </c>
      <c r="B18" s="35"/>
      <c r="C18" s="36">
        <v>46200.0</v>
      </c>
      <c r="D18" s="37" t="s">
        <v>148</v>
      </c>
      <c r="E18" s="37" t="s">
        <v>70</v>
      </c>
      <c r="F18" s="38"/>
      <c r="G18" s="38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>
      <c r="A19" s="29">
        <v>0.5833333333333334</v>
      </c>
      <c r="B19" s="35"/>
      <c r="C19" s="36">
        <v>46200.0</v>
      </c>
      <c r="D19" s="37" t="s">
        <v>180</v>
      </c>
      <c r="E19" s="39" t="s">
        <v>149</v>
      </c>
      <c r="F19" s="38"/>
      <c r="G19" s="38"/>
      <c r="H19" s="40"/>
      <c r="I19" s="40"/>
      <c r="J19" s="40"/>
      <c r="K19" s="40"/>
      <c r="L19" s="40"/>
      <c r="M19" s="40"/>
      <c r="N19" s="40"/>
      <c r="O19" s="40"/>
      <c r="P19" s="40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>
      <c r="A20" s="29">
        <v>0.6666666666666666</v>
      </c>
      <c r="B20" s="36"/>
      <c r="C20" s="36">
        <v>46200.0</v>
      </c>
      <c r="D20" s="39" t="s">
        <v>98</v>
      </c>
      <c r="E20" s="39" t="s">
        <v>181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>
      <c r="A21" s="29">
        <v>0.75</v>
      </c>
      <c r="B21" s="36"/>
      <c r="C21" s="36">
        <v>46200.0</v>
      </c>
      <c r="D21" s="39" t="s">
        <v>71</v>
      </c>
      <c r="E21" s="39" t="s">
        <v>99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>
      <c r="A22" s="23">
        <v>0.5</v>
      </c>
      <c r="B22" s="36"/>
      <c r="C22" s="36">
        <v>46201.0</v>
      </c>
      <c r="D22" s="39" t="s">
        <v>70</v>
      </c>
      <c r="E22" s="37" t="s">
        <v>180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>
      <c r="A23" s="29">
        <v>0.5833333333333334</v>
      </c>
      <c r="B23" s="36"/>
      <c r="C23" s="36">
        <v>46201.0</v>
      </c>
      <c r="D23" s="37" t="s">
        <v>148</v>
      </c>
      <c r="E23" s="39" t="s">
        <v>98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>
      <c r="A24" s="29">
        <v>0.6666666666666666</v>
      </c>
      <c r="B24" s="36"/>
      <c r="C24" s="36">
        <v>46201.0</v>
      </c>
      <c r="D24" s="39" t="s">
        <v>149</v>
      </c>
      <c r="E24" s="39" t="s">
        <v>71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>
      <c r="A25" s="29">
        <v>0.75</v>
      </c>
      <c r="B25" s="36"/>
      <c r="C25" s="36">
        <v>46201.0</v>
      </c>
      <c r="D25" s="39" t="s">
        <v>181</v>
      </c>
      <c r="E25" s="39" t="s">
        <v>99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7">
        <v>2026.0</v>
      </c>
      <c r="B2" s="7" t="s">
        <v>149</v>
      </c>
      <c r="C2" s="7">
        <v>4.0</v>
      </c>
      <c r="D2" s="42">
        <v>4.0</v>
      </c>
      <c r="E2" s="42">
        <v>0.0</v>
      </c>
      <c r="F2" s="43">
        <v>1.0</v>
      </c>
      <c r="G2" s="42">
        <v>416.0</v>
      </c>
      <c r="H2" s="42">
        <v>284.0</v>
      </c>
      <c r="I2" s="42">
        <v>0.0</v>
      </c>
      <c r="J2" s="42" t="s">
        <v>202</v>
      </c>
      <c r="K2" s="42">
        <v>4.0</v>
      </c>
      <c r="L2" s="7" t="s">
        <v>203</v>
      </c>
    </row>
    <row r="3">
      <c r="A3" s="7">
        <v>2026.0</v>
      </c>
      <c r="B3" s="7" t="s">
        <v>71</v>
      </c>
      <c r="C3" s="7">
        <v>4.0</v>
      </c>
      <c r="D3" s="44">
        <v>3.0</v>
      </c>
      <c r="E3" s="44">
        <v>1.0</v>
      </c>
      <c r="F3" s="45">
        <v>0.75</v>
      </c>
      <c r="G3" s="44">
        <v>327.0</v>
      </c>
      <c r="H3" s="44">
        <v>372.0</v>
      </c>
      <c r="I3" s="44">
        <v>1.0</v>
      </c>
      <c r="J3" s="44" t="s">
        <v>204</v>
      </c>
      <c r="K3" s="44">
        <v>3.0</v>
      </c>
      <c r="L3" s="7" t="s">
        <v>203</v>
      </c>
    </row>
    <row r="4">
      <c r="A4" s="7">
        <v>2026.0</v>
      </c>
      <c r="B4" s="7" t="s">
        <v>181</v>
      </c>
      <c r="C4" s="7">
        <v>4.0</v>
      </c>
      <c r="D4" s="44">
        <v>2.0</v>
      </c>
      <c r="E4" s="44">
        <v>2.0</v>
      </c>
      <c r="F4" s="45">
        <v>0.5</v>
      </c>
      <c r="G4" s="44">
        <v>334.0</v>
      </c>
      <c r="H4" s="44">
        <v>336.0</v>
      </c>
      <c r="I4" s="44">
        <v>2.0</v>
      </c>
      <c r="J4" s="44" t="s">
        <v>205</v>
      </c>
      <c r="K4" s="44">
        <v>1.0</v>
      </c>
      <c r="L4" s="7" t="s">
        <v>206</v>
      </c>
    </row>
    <row r="5">
      <c r="A5" s="7">
        <v>2026.0</v>
      </c>
      <c r="B5" s="7" t="s">
        <v>148</v>
      </c>
      <c r="C5" s="7">
        <v>4.0</v>
      </c>
      <c r="D5" s="44">
        <v>2.0</v>
      </c>
      <c r="E5" s="44">
        <v>2.0</v>
      </c>
      <c r="F5" s="45">
        <v>0.5</v>
      </c>
      <c r="G5" s="44">
        <v>316.0</v>
      </c>
      <c r="H5" s="44">
        <v>328.0</v>
      </c>
      <c r="I5" s="44">
        <v>2.0</v>
      </c>
      <c r="J5" s="44" t="s">
        <v>205</v>
      </c>
      <c r="K5" s="44">
        <v>1.0</v>
      </c>
      <c r="L5" s="7" t="s">
        <v>203</v>
      </c>
    </row>
    <row r="6">
      <c r="A6" s="7">
        <v>2026.0</v>
      </c>
      <c r="B6" s="7" t="s">
        <v>207</v>
      </c>
      <c r="C6" s="7">
        <v>4.0</v>
      </c>
      <c r="D6" s="44">
        <v>2.0</v>
      </c>
      <c r="E6" s="44">
        <v>2.0</v>
      </c>
      <c r="F6" s="45">
        <v>0.5</v>
      </c>
      <c r="G6" s="44">
        <v>294.0</v>
      </c>
      <c r="H6" s="44">
        <v>309.0</v>
      </c>
      <c r="I6" s="44">
        <v>2.0</v>
      </c>
      <c r="J6" s="44" t="s">
        <v>205</v>
      </c>
      <c r="K6" s="44">
        <v>1.0</v>
      </c>
      <c r="L6" s="7" t="s">
        <v>206</v>
      </c>
    </row>
    <row r="7">
      <c r="A7" s="7">
        <v>2026.0</v>
      </c>
      <c r="B7" s="7" t="s">
        <v>70</v>
      </c>
      <c r="C7" s="7">
        <v>4.0</v>
      </c>
      <c r="D7" s="44">
        <v>2.0</v>
      </c>
      <c r="E7" s="44">
        <v>2.0</v>
      </c>
      <c r="F7" s="45">
        <v>0.5</v>
      </c>
      <c r="G7" s="44">
        <v>298.0</v>
      </c>
      <c r="H7" s="44">
        <v>380.0</v>
      </c>
      <c r="I7" s="44">
        <v>2.0</v>
      </c>
      <c r="J7" s="44" t="s">
        <v>205</v>
      </c>
      <c r="K7" s="44">
        <v>2.0</v>
      </c>
      <c r="L7" s="7" t="s">
        <v>206</v>
      </c>
    </row>
    <row r="8">
      <c r="A8" s="7">
        <v>2026.0</v>
      </c>
      <c r="B8" s="7" t="s">
        <v>99</v>
      </c>
      <c r="C8" s="7">
        <v>4.0</v>
      </c>
      <c r="D8" s="44">
        <v>1.0</v>
      </c>
      <c r="E8" s="44">
        <v>3.0</v>
      </c>
      <c r="F8" s="45">
        <v>0.25</v>
      </c>
      <c r="G8" s="44">
        <v>295.0</v>
      </c>
      <c r="H8" s="44">
        <v>332.0</v>
      </c>
      <c r="I8" s="44">
        <v>3.0</v>
      </c>
      <c r="J8" s="44" t="s">
        <v>208</v>
      </c>
      <c r="K8" s="44">
        <v>1.0</v>
      </c>
      <c r="L8" s="7" t="s">
        <v>203</v>
      </c>
    </row>
    <row r="9">
      <c r="A9" s="7">
        <v>2026.0</v>
      </c>
      <c r="B9" s="7" t="s">
        <v>180</v>
      </c>
      <c r="C9" s="7">
        <v>4.0</v>
      </c>
      <c r="D9" s="44">
        <v>0.0</v>
      </c>
      <c r="E9" s="44">
        <v>4.0</v>
      </c>
      <c r="F9" s="45">
        <v>0.0</v>
      </c>
      <c r="G9" s="44">
        <v>261.0</v>
      </c>
      <c r="H9" s="44">
        <v>333.0</v>
      </c>
      <c r="I9" s="44">
        <v>4.0</v>
      </c>
      <c r="J9" s="44" t="s">
        <v>209</v>
      </c>
      <c r="K9" s="44">
        <v>4.0</v>
      </c>
      <c r="L9" s="7" t="s">
        <v>206</v>
      </c>
    </row>
  </sheetData>
  <drawing r:id="rId1"/>
</worksheet>
</file>